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6751b82ab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d0f8f4f6ba524228"/>
    <x:sheet xmlns:r="http://schemas.openxmlformats.org/officeDocument/2006/relationships" name="参数" sheetId="2" r:id="R3d19cfc429ca4714"/>
    <x:sheet xmlns:r="http://schemas.openxmlformats.org/officeDocument/2006/relationships" name="货币与投放" sheetId="3" r:id="Rcc29769a15a34e8c"/>
    <x:sheet xmlns:r="http://schemas.openxmlformats.org/officeDocument/2006/relationships" name="新手与成长" sheetId="4" r:id="Re23bffa9854a4bb6"/>
    <x:sheet xmlns:r="http://schemas.openxmlformats.org/officeDocument/2006/relationships" name="旅行地区" sheetId="5" r:id="R8d51af75d67d4dee"/>
    <x:sheet xmlns:r="http://schemas.openxmlformats.org/officeDocument/2006/relationships" name="地区植物" sheetId="6" r:id="R3b75a38d3ef94089"/>
    <x:sheet xmlns:r="http://schemas.openxmlformats.org/officeDocument/2006/relationships" name="家具套系" sheetId="7" r:id="Rcc564473fd1d468b"/>
    <x:sheet xmlns:r="http://schemas.openxmlformats.org/officeDocument/2006/relationships" name="家具目录" sheetId="8" r:id="R441bf712a42249b7"/>
    <x:sheet xmlns:r="http://schemas.openxmlformats.org/officeDocument/2006/relationships" name="角色外观" sheetId="9" r:id="R60129d64efba4f7b"/>
    <x:sheet xmlns:r="http://schemas.openxmlformats.org/officeDocument/2006/relationships" name="装配与表现" sheetId="10" r:id="Ra5c6ead3ef2d4d06"/>
    <x:sheet xmlns:r="http://schemas.openxmlformats.org/officeDocument/2006/relationships" name="奖池规则" sheetId="11" r:id="R6b64fc6c1eb74b19"/>
    <x:sheet xmlns:r="http://schemas.openxmlformats.org/officeDocument/2006/relationships" name="奖池条目" sheetId="12" r:id="R8af926dcd5b64c3a"/>
    <x:sheet xmlns:r="http://schemas.openxmlformats.org/officeDocument/2006/relationships" name="商店与兑换" sheetId="13" r:id="R7bd8781ecde84f9f"/>
    <x:sheet xmlns:r="http://schemas.openxmlformats.org/officeDocument/2006/relationships" name="动作生成计费" sheetId="14" r:id="Rb57548ae41144ee2"/>
    <x:sheet xmlns:r="http://schemas.openxmlformats.org/officeDocument/2006/relationships" name="90天收支" sheetId="15" r:id="R103967df9c4a4b4e"/>
    <x:sheet xmlns:r="http://schemas.openxmlformats.org/officeDocument/2006/relationships" name="概率与目标" sheetId="16" r:id="R553b1bcb488248ea"/>
    <x:sheet xmlns:r="http://schemas.openxmlformats.org/officeDocument/2006/relationships" name="版本投放" sheetId="17" r:id="R1f5a83f4329342d1"/>
    <x:sheet xmlns:r="http://schemas.openxmlformats.org/officeDocument/2006/relationships" name="加速与活动" sheetId="18" r:id="Rcd38b914aeae45e7"/>
    <x:sheet xmlns:r="http://schemas.openxmlformats.org/officeDocument/2006/relationships" name="天气与繁育" sheetId="19" r:id="Raa565c3396e94c08"/>
    <x:sheet xmlns:r="http://schemas.openxmlformats.org/officeDocument/2006/relationships" name="开发清单" sheetId="20" r:id="R0b413435e64b4798"/>
    <x:sheet xmlns:r="http://schemas.openxmlformats.org/officeDocument/2006/relationships" name="埋点与验收" sheetId="21" r:id="R22bd64ff7a82453c"/>
    <x:sheet xmlns:r="http://schemas.openxmlformats.org/officeDocument/2006/relationships" name="校验" sheetId="22" r:id="R1d7c7060154f4e0b"/>
    <x:sheet xmlns:r="http://schemas.openxmlformats.org/officeDocument/2006/relationships" name="依据与边界" sheetId="23" r:id="R9465fc34a6da40de"/>
    <x:sheet xmlns:r="http://schemas.openxmlformats.org/officeDocument/2006/relationships" name="月卡方案" sheetId="24" r:id="R153392cba4c244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0%"/>
    <x:numFmt numFmtId="202" formatCode="0.00%"/>
    <x:numFmt numFmtId="203" formatCode="0.000"/>
  </x:numFmts>
  <x:fonts count="7">
    <x:font>
      <x:sz val="11"/>
      <x:name val="Carlito"/>
    </x:font>
    <x:font>
      <x:sz val="10"/>
      <x:color rgb="FF26343E"/>
      <x:name val="Microsoft YaHei"/>
    </x:font>
    <x:font>
      <x:b/>
      <x:sz val="16"/>
      <x:color rgb="FF23394C"/>
      <x:name val="Microsoft YaHei"/>
    </x:font>
    <x:font>
      <x:sz val="10"/>
      <x:color rgb="FF677885"/>
      <x:name val="Microsoft YaHei"/>
    </x:font>
    <x:font>
      <x:b/>
      <x:sz val="10"/>
      <x:color rgb="FFFFFFFF"/>
      <x:name val="Microsoft YaHei"/>
    </x:font>
    <x:font>
      <x:sz val="10"/>
      <x:color rgb="FF245CAB"/>
      <x:name val="Microsoft YaHei"/>
    </x:font>
    <x:font>
      <x:sz val="10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30485B"/>
      </x:patternFill>
    </x:fill>
    <x:fill>
      <x:patternFill patternType="solid">
        <x:fgColor rgb="FFF1F4F6"/>
      </x:patternFill>
    </x:fill>
    <x:fill>
      <x:patternFill patternType="solid">
        <x:fgColor rgb="FFDFE8EE"/>
      </x:patternFill>
    </x:fill>
    <x:fill>
      <x:patternFill patternType="solid">
        <x:fgColor rgb="FFFFF0C2"/>
      </x:patternFill>
    </x:fill>
    <x:fill>
      <x:patternFill patternType="solid">
        <x:fgColor rgb="FF30485B"/>
      </x:patternFill>
    </x:fill>
    <x:fill>
      <x:patternFill patternType="solid">
        <x:fgColor rgb="FFF1F4F6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203" fontId="1" fillId="7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A52B20"/>
      </x:font>
      <x:fill>
        <x:patternFill>
          <x:bgColor rgb="FFFCE1DB"/>
        </x:patternFill>
      </x:fill>
    </x:dxf>
    <x:dxf>
      <x:font>
        <x:b/>
        <x:color rgb="FFA52B20"/>
      </x:font>
      <x:fill>
        <x:patternFill>
          <x:bgColor rgb="FFFCE1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03606b9734aba" /><Relationship Type="http://schemas.openxmlformats.org/officeDocument/2006/relationships/theme" Target="/xl/theme/theme1.xml" Id="R2641e85267f140ec" /><Relationship Type="http://schemas.openxmlformats.org/officeDocument/2006/relationships/sharedStrings" Target="/xl/sharedStrings.xml" Id="R2ba6f0b97e0c4f36" /><Relationship Type="http://schemas.openxmlformats.org/officeDocument/2006/relationships/worksheet" Target="/xl/worksheets/sheet1.xml" Id="Rd0f8f4f6ba524228" /><Relationship Type="http://schemas.openxmlformats.org/officeDocument/2006/relationships/worksheet" Target="/xl/worksheets/sheet2.xml" Id="R3d19cfc429ca4714" /><Relationship Type="http://schemas.openxmlformats.org/officeDocument/2006/relationships/worksheet" Target="/xl/worksheets/sheet3.xml" Id="Rcc29769a15a34e8c" /><Relationship Type="http://schemas.openxmlformats.org/officeDocument/2006/relationships/worksheet" Target="/xl/worksheets/sheet4.xml" Id="Re23bffa9854a4bb6" /><Relationship Type="http://schemas.openxmlformats.org/officeDocument/2006/relationships/worksheet" Target="/xl/worksheets/sheet5.xml" Id="R8d51af75d67d4dee" /><Relationship Type="http://schemas.openxmlformats.org/officeDocument/2006/relationships/worksheet" Target="/xl/worksheets/sheet6.xml" Id="R3b75a38d3ef94089" /><Relationship Type="http://schemas.openxmlformats.org/officeDocument/2006/relationships/worksheet" Target="/xl/worksheets/sheet7.xml" Id="Rcc564473fd1d468b" /><Relationship Type="http://schemas.openxmlformats.org/officeDocument/2006/relationships/worksheet" Target="/xl/worksheets/sheet8.xml" Id="R441bf712a42249b7" /><Relationship Type="http://schemas.openxmlformats.org/officeDocument/2006/relationships/worksheet" Target="/xl/worksheets/sheet9.xml" Id="R60129d64efba4f7b" /><Relationship Type="http://schemas.openxmlformats.org/officeDocument/2006/relationships/worksheet" Target="/xl/worksheets/sheet10.xml" Id="Ra5c6ead3ef2d4d06" /><Relationship Type="http://schemas.openxmlformats.org/officeDocument/2006/relationships/worksheet" Target="/xl/worksheets/sheet11.xml" Id="R6b64fc6c1eb74b19" /><Relationship Type="http://schemas.openxmlformats.org/officeDocument/2006/relationships/worksheet" Target="/xl/worksheets/sheet12.xml" Id="R8af926dcd5b64c3a" /><Relationship Type="http://schemas.openxmlformats.org/officeDocument/2006/relationships/worksheet" Target="/xl/worksheets/sheet13.xml" Id="R7bd8781ecde84f9f" /><Relationship Type="http://schemas.openxmlformats.org/officeDocument/2006/relationships/worksheet" Target="/xl/worksheets/sheet14.xml" Id="Rb57548ae41144ee2" /><Relationship Type="http://schemas.openxmlformats.org/officeDocument/2006/relationships/worksheet" Target="/xl/worksheets/sheet15.xml" Id="R103967df9c4a4b4e" /><Relationship Type="http://schemas.openxmlformats.org/officeDocument/2006/relationships/worksheet" Target="/xl/worksheets/sheet16.xml" Id="R553b1bcb488248ea" /><Relationship Type="http://schemas.openxmlformats.org/officeDocument/2006/relationships/worksheet" Target="/xl/worksheets/sheet17.xml" Id="R1f5a83f4329342d1" /><Relationship Type="http://schemas.openxmlformats.org/officeDocument/2006/relationships/worksheet" Target="/xl/worksheets/sheet18.xml" Id="Rcd38b914aeae45e7" /><Relationship Type="http://schemas.openxmlformats.org/officeDocument/2006/relationships/worksheet" Target="/xl/worksheets/sheet19.xml" Id="Raa565c3396e94c08" /><Relationship Type="http://schemas.openxmlformats.org/officeDocument/2006/relationships/worksheet" Target="/xl/worksheets/sheet20.xml" Id="R0b413435e64b4798" /><Relationship Type="http://schemas.openxmlformats.org/officeDocument/2006/relationships/worksheet" Target="/xl/worksheets/sheet21.xml" Id="R22bd64ff7a82453c" /><Relationship Type="http://schemas.openxmlformats.org/officeDocument/2006/relationships/worksheet" Target="/xl/worksheets/sheet22.xml" Id="R1d7c7060154f4e0b" /><Relationship Type="http://schemas.openxmlformats.org/officeDocument/2006/relationships/worksheet" Target="/xl/worksheets/sheet23.xml" Id="R9465fc34a6da40de" /><Relationship Type="http://schemas.openxmlformats.org/officeDocument/2006/relationships/worksheet" Target="/xl/worksheets/sheet24.xml" Id="R153392cba4c244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c8825f58f541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金币结余（已扣计划消费）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金币结余</c:v>
          </c:tx>
          <c:spPr>
            <a:ln xmlns:a="http://schemas.openxmlformats.org/drawingml/2006/main" w="19050">
              <a:solidFill>
                <a:srgbClr val="547C92"/>
              </a:solidFill>
              <a:prstDash val="solid"/>
            </a:ln>
          </c:spPr>
          <c:marker>
            <c:symbol val="none"/>
          </c:marker>
          <c:cat>
            <c:strRef>
              <c:f>'总览'!$E$7:$E$9</c:f>
              <c:strCache>
                <c:ptCount val="0"/>
              </c:strCache>
            </c:strRef>
          </c:cat>
          <c:val>
            <c:numRef>
              <c:f>'总览'!$F$7:$F$9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c8825f58f5419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1" displayName="T1" ref="A6:E77" headerRowCount="1" totalsRowCount="0" totalsRowShown="0">
  <x:autoFilter ref="A6:E77"/>
  <x:tableColumns count="5">
    <x:tableColumn id="1" name="参数ID"/>
    <x:tableColumn id="2" name="参数说明"/>
    <x:tableColumn id="3" name="单位"/>
    <x:tableColumn id="4" name="取值"/>
    <x:tableColumn id="5" name="来源与边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6:J15" headerRowCount="1" totalsRowCount="0" totalsRowShown="0">
  <x:autoFilter ref="A6:J15"/>
  <x:tableColumns count="10">
    <x:tableColumn id="1" name="资产ID"/>
    <x:tableColumn id="2" name="名称"/>
    <x:tableColumn id="3" name="定位"/>
    <x:tableColumn id="4" name="产出"/>
    <x:tableColumn id="5" name="消耗"/>
    <x:tableColumn id="6" name="转换规则"/>
    <x:tableColumn id="7" name="流通"/>
    <x:tableColumn id="8" name="有效期"/>
    <x:tableColumn id="9" name="设计作用"/>
    <x:tableColumn id="10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6:I24" headerRowCount="1" totalsRowCount="0" totalsRowShown="0">
  <x:autoFilter ref="A6:I24"/>
  <x:tableColumns count="9">
    <x:tableColumn id="1" name="任务ID"/>
    <x:tableColumn id="2" name="目标时段"/>
    <x:tableColumn id="3" name="完成条件"/>
    <x:tableColumn id="4" name="奖励"/>
    <x:tableColumn id="5" name="奖励ID"/>
    <x:tableColumn id="6" name="数量"/>
    <x:tableColumn id="7" name="节奏与规则"/>
    <x:tableColumn id="8" name="防卡关"/>
    <x:tableColumn id="9" name="现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6:P30" headerRowCount="1" totalsRowCount="0" totalsRowShown="0">
  <x:autoFilter ref="A6:P30"/>
  <x:tableColumns count="16">
    <x:tableColumn id="1" name="地区ID"/>
    <x:tableColumn id="2" name="目的地"/>
    <x:tableColumn id="3" name="大区"/>
    <x:tableColumn id="4" name="美术主题"/>
    <x:tableColumn id="5" name="投放批次"/>
    <x:tableColumn id="6" name="解锁累计旅行"/>
    <x:tableColumn id="7" name="金币费用"/>
    <x:tableColumn id="8" name="时长分钟"/>
    <x:tableColumn id="9" name="家具套系ID"/>
    <x:tableColumn id="10" name="首访种子ID"/>
    <x:tableColumn id="11" name="花卉物种"/>
    <x:tableColumn id="12" name="果实物种"/>
    <x:tableColumn id="13" name="收藏差异"/>
    <x:tableColumn id="14" name="里程碑"/>
    <x:tableColumn id="15" name="派遣规则"/>
    <x:tableColumn id="16" name="实现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" displayName="T5" ref="A6:M54" headerRowCount="1" totalsRowCount="0" totalsRowShown="0">
  <x:autoFilter ref="A6:M54"/>
  <x:tableColumns count="13">
    <x:tableColumn id="1" name="物种ID"/>
    <x:tableColumn id="2" name="地区ID"/>
    <x:tableColumn id="3" name="名称"/>
    <x:tableColumn id="4" name="类型"/>
    <x:tableColumn id="5" name="批次"/>
    <x:tableColumn id="6" name="种子金币价"/>
    <x:tableColumn id="7" name="成熟分钟"/>
    <x:tableColumn id="8" name="基础售价"/>
    <x:tableColumn id="9" name="单株净金币"/>
    <x:tableColumn id="10" name="解锁旅行次数"/>
    <x:tableColumn id="11" name="美术差异"/>
    <x:tableColumn id="12" name="基因与经济规则"/>
    <x:tableColumn id="13" name="实现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" displayName="T6" ref="A6:I24" headerRowCount="1" totalsRowCount="0" totalsRowShown="0">
  <x:autoFilter ref="A6:I24"/>
  <x:tableColumns count="9">
    <x:tableColumn id="1" name="套系ID"/>
    <x:tableColumn id="2" name="名称"/>
    <x:tableColumn id="3" name="批次"/>
    <x:tableColumn id="4" name="主获取"/>
    <x:tableColumn id="5" name="美术方向"/>
    <x:tableColumn id="6" name="件数"/>
    <x:tableColumn id="7" name="首个目标"/>
    <x:tableColumn id="8" name="整套目标"/>
    <x:tableColumn id="9" name="生产依赖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" displayName="T7" ref="A6:N150" headerRowCount="1" totalsRowCount="0" totalsRowShown="0">
  <x:autoFilter ref="A6:N150"/>
  <x:tableColumns count="14">
    <x:tableColumn id="1" name="物品ID"/>
    <x:tableColumn id="2" name="套系ID"/>
    <x:tableColumn id="3" name="名称"/>
    <x:tableColumn id="4" name="品质"/>
    <x:tableColumn id="5" name="批次"/>
    <x:tableColumn id="6" name="摆放面"/>
    <x:tableColumn id="7" name="主获取"/>
    <x:tableColumn id="8" name="货币/进度"/>
    <x:tableColumn id="9" name="直购价"/>
    <x:tableColumn id="10" name="地区ID"/>
    <x:tableColumn id="11" name="解锁/投放条件"/>
    <x:tableColumn id="12" name="重复规则"/>
    <x:tableColumn id="13" name="美术规格"/>
    <x:tableColumn id="14" name="实现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" displayName="T8" ref="A6:O22" headerRowCount="1" totalsRowCount="0" totalsRowShown="0">
  <x:autoFilter ref="A6:O22"/>
  <x:tableColumns count="15">
    <x:tableColumn id="1" name="外观ID"/>
    <x:tableColumn id="2" name="套系"/>
    <x:tableColumn id="3" name="名称"/>
    <x:tableColumn id="4" name="槽位"/>
    <x:tableColumn id="5" name="品质"/>
    <x:tableColumn id="6" name="批次"/>
    <x:tableColumn id="7" name="主获取"/>
    <x:tableColumn id="8" name="地区ID"/>
    <x:tableColumn id="9" name="见闻要求"/>
    <x:tableColumn id="10" name="星晶直购"/>
    <x:tableColumn id="11" name="星屑兑换"/>
    <x:tableColumn id="12" name="明确获取条件"/>
    <x:tableColumn id="13" name="视觉规格"/>
    <x:tableColumn id="14" name="使用范围"/>
    <x:tableColumn id="15" name="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" displayName="T9" ref="A6:J21" headerRowCount="1" totalsRowCount="0" totalsRowShown="0">
  <x:autoFilter ref="A6:J21"/>
  <x:tableColumns count="10">
    <x:tableColumn id="1" name="外观槽"/>
    <x:tableColumn id="2" name="角色类型"/>
    <x:tableColumn id="3" name="定位基准"/>
    <x:tableColumn id="4" name="触发条件"/>
    <x:tableColumn id="5" name="播放预算"/>
    <x:tableColumn id="6" name="降级适配"/>
    <x:tableColumn id="7" name="交互限制"/>
    <x:tableColumn id="8" name="用户设置"/>
    <x:tableColumn id="9" name="联机规则"/>
    <x:tableColumn id="10" name="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" displayName="T10" ref="A6:K15" headerRowCount="1" totalsRowCount="0" totalsRowShown="0">
  <x:autoFilter ref="A6:K15"/>
  <x:tableColumns count="11">
    <x:tableColumn id="1" name="奖池ID"/>
    <x:tableColumn id="2" name="名称"/>
    <x:tableColumn id="3" name="支付资产"/>
    <x:tableColumn id="4" name="单抽成本"/>
    <x:tableColumn id="5" name="档位"/>
    <x:tableColumn id="6" name="基础概率"/>
    <x:tableColumn id="7" name="SR以上保底"/>
    <x:tableColumn id="8" name="SSR保底"/>
    <x:tableColumn id="9" name="投放内容"/>
    <x:tableColumn id="10" name="规则"/>
    <x:tableColumn id="11" name="重复与补偿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" displayName="T11" ref="A6:L49" headerRowCount="1" totalsRowCount="0" totalsRowShown="0">
  <x:autoFilter ref="A6:L49"/>
  <x:tableColumns count="12">
    <x:tableColumn id="1" name="奖池ID"/>
    <x:tableColumn id="2" name="主题组ID"/>
    <x:tableColumn id="3" name="奖励ID"/>
    <x:tableColumn id="4" name="名称"/>
    <x:tableColumn id="5" name="类别"/>
    <x:tableColumn id="6" name="档位"/>
    <x:tableColumn id="7" name="数量"/>
    <x:tableColumn id="8" name="档内权重"/>
    <x:tableColumn id="9" name="档内概率"/>
    <x:tableColumn id="10" name="基础单项概率"/>
    <x:tableColumn id="11" name="重复/成长规则"/>
    <x:tableColumn id="12" name="批次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" displayName="T12" ref="A6:J118" headerRowCount="1" totalsRowCount="0" totalsRowShown="0">
  <x:autoFilter ref="A6:J118"/>
  <x:tableColumns count="10">
    <x:tableColumn id="1" name="商品ID"/>
    <x:tableColumn id="2" name="物品ID"/>
    <x:tableColumn id="3" name="名称"/>
    <x:tableColumn id="4" name="支付资产"/>
    <x:tableColumn id="5" name="价格"/>
    <x:tableColumn id="6" name="数量/持有建议"/>
    <x:tableColumn id="7" name="售卖方式"/>
    <x:tableColumn id="8" name="重复规则"/>
    <x:tableColumn id="9" name="条件与说明"/>
    <x:tableColumn id="10" name="批次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" displayName="T13" ref="A6:O11" headerRowCount="1" totalsRowCount="0" totalsRowShown="0">
  <x:autoFilter ref="A6:O11"/>
  <x:tableColumns count="15">
    <x:tableColumn id="1" name="服务ID"/>
    <x:tableColumn id="2" name="服务"/>
    <x:tableColumn id="3" name="适用类型"/>
    <x:tableColumn id="4" name="候选标价星晶"/>
    <x:tableColumn id="5" name="单次供应商成本元"/>
    <x:tableColumn id="6" name="验收成功率假设"/>
    <x:tableColumn id="7" name="后处理成本元"/>
    <x:tableColumn id="8" name="存储分发成本元"/>
    <x:tableColumn id="9" name="预计交付成本元"/>
    <x:tableColumn id="10" name="成本要求最低星晶"/>
    <x:tableColumn id="11" name="候选价贡献率"/>
    <x:tableColumn id="12" name="结算条件"/>
    <x:tableColumn id="13" name="失败退款"/>
    <x:tableColumn id="14" name="范围"/>
    <x:tableColumn id="15" name="当前状态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" displayName="T14" ref="A6:W96" headerRowCount="1" totalsRowCount="0" totalsRowShown="0">
  <x:autoFilter ref="A6:W96"/>
  <x:tableColumns count="23">
    <x:tableColumn id="1" name="天数"/>
    <x:tableColumn id="2" name="期初金币"/>
    <x:tableColumn id="3" name="出售收入"/>
    <x:tableColumn id="4" name="种子成本"/>
    <x:tableColumn id="5" name="心愿周奖励"/>
    <x:tableColumn id="6" name="旅行成本"/>
    <x:tableColumn id="7" name="精油成本"/>
    <x:tableColumn id="8" name="肥料成本"/>
    <x:tableColumn id="9" name="金币抽取消耗"/>
    <x:tableColumn id="10" name="计划家具费"/>
    <x:tableColumn id="11" name="实际家具费"/>
    <x:tableColumn id="12" name="期末金币"/>
    <x:tableColumn id="13" name="赠晶收入"/>
    <x:tableColumn id="14" name="珍藏券收入"/>
    <x:tableColumn id="15" name="当日珍藏抽数"/>
    <x:tableColumn id="16" name="期末赠晶"/>
    <x:tableColumn id="17" name="购买晶收入"/>
    <x:tableColumn id="18" name="购买晶余额"/>
    <x:tableColumn id="19" name="累计珍藏抽数"/>
    <x:tableColumn id="20" name="星屑下限收入"/>
    <x:tableColumn id="21" name="计划兑换星屑"/>
    <x:tableColumn id="22" name="实际兑换星屑"/>
    <x:tableColumn id="23" name="星屑下限余额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" displayName="T15" ref="A6:D26" headerRowCount="1" totalsRowCount="0" totalsRowShown="0">
  <x:autoFilter ref="A6:D26"/>
  <x:tableColumns count="4">
    <x:tableColumn id="1" name="指标"/>
    <x:tableColumn id="2" name="结果"/>
    <x:tableColumn id="3" name="单位"/>
    <x:tableColumn id="4" name="解释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6" displayName="T16" ref="A6:J12" headerRowCount="1" totalsRowCount="0" totalsRowShown="0">
  <x:autoFilter ref="A6:J12"/>
  <x:tableColumns count="10">
    <x:tableColumn id="1" name="版本"/>
    <x:tableColumn id="2" name="阶段"/>
    <x:tableColumn id="3" name="时机"/>
    <x:tableColumn id="4" name="新增地区"/>
    <x:tableColumn id="5" name="新增家具"/>
    <x:tableColumn id="6" name="新增外观"/>
    <x:tableColumn id="7" name="内容"/>
    <x:tableColumn id="8" name="上线门槛"/>
    <x:tableColumn id="9" name="责任领域"/>
    <x:tableColumn id="10" name="说明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17" displayName="T17" ref="A6:G22" headerRowCount="1" totalsRowCount="0" totalsRowShown="0">
  <x:autoFilter ref="A6:G22"/>
  <x:tableColumns count="7">
    <x:tableColumn id="1" name="规则"/>
    <x:tableColumn id="2" name="对象"/>
    <x:tableColumn id="3" name="数值/结果"/>
    <x:tableColumn id="4" name="分钟"/>
    <x:tableColumn id="5" name="具体计算与用途"/>
    <x:tableColumn id="6" name="限制与免费路径"/>
    <x:tableColumn id="7" name="体验目的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18" displayName="T18" ref="A6:G23" headerRowCount="1" totalsRowCount="0" totalsRowShown="0">
  <x:autoFilter ref="A6:G23"/>
  <x:tableColumns count="7">
    <x:tableColumn id="1" name="系统"/>
    <x:tableColumn id="2" name="参数"/>
    <x:tableColumn id="3" name="值"/>
    <x:tableColumn id="4" name="单位"/>
    <x:tableColumn id="5" name="性质"/>
    <x:tableColumn id="6" name="具体规则"/>
    <x:tableColumn id="7" name="商业化/实现边界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19" displayName="T19" ref="A6:I25" headerRowCount="1" totalsRowCount="0" totalsRowShown="0">
  <x:autoFilter ref="A6:I25"/>
  <x:tableColumns count="9">
    <x:tableColumn id="1" name="任务ID"/>
    <x:tableColumn id="2" name="阶段"/>
    <x:tableColumn id="3" name="模块"/>
    <x:tableColumn id="4" name="交付内容"/>
    <x:tableColumn id="5" name="完成判据"/>
    <x:tableColumn id="6" name="现状证据"/>
    <x:tableColumn id="7" name="主要数据结构"/>
    <x:tableColumn id="8" name="前置依赖"/>
    <x:tableColumn id="9" name="状态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20" displayName="T20" ref="A6:H16" headerRowCount="1" totalsRowCount="0" totalsRowShown="0">
  <x:autoFilter ref="A6:H16"/>
  <x:tableColumns count="8">
    <x:tableColumn id="1" name="事件ID"/>
    <x:tableColumn id="2" name="触发"/>
    <x:tableColumn id="3" name="必要字段"/>
    <x:tableColumn id="4" name="验收要求"/>
    <x:tableColumn id="5" name="性质"/>
    <x:tableColumn id="6" name="阈值"/>
    <x:tableColumn id="7" name="单位"/>
    <x:tableColumn id="8" name="边界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2" name="T21" displayName="T21" ref="A6:C20" headerRowCount="1" totalsRowCount="0" totalsRowShown="0">
  <x:autoFilter ref="A6:C20"/>
  <x:tableColumns count="3">
    <x:tableColumn id="1" name="检查"/>
    <x:tableColumn id="2" name="结果"/>
    <x:tableColumn id="3" name="预期/解释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T22" displayName="T22" ref="A6:E20" headerRowCount="1" totalsRowCount="0" totalsRowShown="0">
  <x:autoFilter ref="A6:E20"/>
  <x:tableColumns count="5">
    <x:tableColumn id="1" name="依据"/>
    <x:tableColumn id="2" name="位置"/>
    <x:tableColumn id="3" name="采用内容"/>
    <x:tableColumn id="4" name="性质"/>
    <x:tableColumn id="5" name="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d0eb8a02d343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17760db7164f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5e45e7a14d49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e1874d1cf044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fc17560a864d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182054950143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5bd896e3354c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2192d0527f4e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9edca1ad1047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9215da76dfd4e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01fa3d0333a479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b44484ab34143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133445e144b44f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2e886674e6440e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6a6e9d98977429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353d49501a60478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6ca22b7638564db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94a6ee8b2c9e48b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314ea206a66d4db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d89c6c99c15e421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e32167039801451b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12b2a06826754ed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1243e7c2d2844528" /></Relationships>
</file>

<file path=xl/worksheets/sheet1.xml><?xml version="1.0" encoding="utf-8"?>
<x:worksheet xmlns:x="http://schemas.openxmlformats.org/spreadsheetml/2006/main">
  <x:sheetPr>
    <x:tabColor rgb="FF30485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0" hidden="0" customWidth="1"/>
    <x:col min="2" max="2" width="57" hidden="0" customWidth="1"/>
    <x:col min="3" max="3" width="87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"/>
      <x:c r="B1" s="2"/>
      <x:c r="C1" s="2"/>
      <x:c r="E1" s="26"/>
      <x:c r="F1" s="26"/>
      <x:c r="G1" s="26"/>
    </x:row>
    <x:row r="2">
      <x:c r="A2" s="3" t="str">
        <x:v>QBot 主数值与内容投放规划 v1.0</x:v>
      </x:c>
      <x:c r="B2" s="2"/>
      <x:c r="C2" s="2"/>
      <x:c r="E2" s="26"/>
      <x:c r="F2" s="26"/>
      <x:c r="G2" s="26"/>
    </x:row>
    <x:row r="3">
      <x:c r="A3" s="4" t="str">
        <x:v>2026-09-29 · 正式版规划草案；不是当前线上规则</x:v>
      </x:c>
      <x:c r="B3" s="2"/>
      <x:c r="C3" s="2"/>
      <x:c r="E3" s="26"/>
      <x:c r="F3" s="26"/>
      <x:c r="G3" s="26"/>
    </x:row>
    <x:row r="4">
      <x:c r="A4" s="2" t="str">
        <x:v>当前预算档位</x:v>
      </x:c>
      <x:c r="B4" s="2" t="str">
        <x:f>CHOOSE('参数'!D4,"轻度","标准","高活跃")</x:f>
        <x:v>标准</x:v>
      </x:c>
      <x:c r="C4" s="2"/>
      <x:c r="E4" s="26"/>
      <x:c r="F4" s="26"/>
      <x:c r="G4" s="26"/>
    </x:row>
    <x:row r="5">
      <x:c r="A5" s="2"/>
      <x:c r="B5" s="2"/>
      <x:c r="C5" s="2"/>
      <x:c r="E5" s="26"/>
      <x:c r="F5" s="26"/>
      <x:c r="G5" s="26"/>
    </x:row>
    <x:row r="6" ht="34" customHeight="1">
      <x:c r="A6" s="8" t="str">
        <x:v>项目</x:v>
      </x:c>
      <x:c r="B6" s="8" t="str">
        <x:v>规划/测算</x:v>
      </x:c>
      <x:c r="C6" s="8" t="str">
        <x:v>说明</x:v>
      </x:c>
      <x:c r="E6" s="26" t="str">
        <x:v>节点</x:v>
      </x:c>
      <x:c r="F6" s="26" t="str">
        <x:v>金币结余</x:v>
      </x:c>
      <x:c r="G6" s="26" t="str">
        <x:v>珍藏累计抽数</x:v>
      </x:c>
    </x:row>
    <x:row r="7" ht="48" customHeight="1">
      <x:c r="A7" s="9" t="str">
        <x:v>规划范围</x:v>
      </x:c>
      <x:c r="B7" s="9" t="str">
        <x:v>首发覆盖90天，储备至第4月</x:v>
      </x:c>
      <x:c r="C7" s="9" t="str">
        <x:v>不以现有三地测试版限制内容量</x:v>
      </x:c>
      <x:c r="E7" s="26" t="str">
        <x:v>D30</x:v>
      </x:c>
      <x:c r="F7" s="26" t="n">
        <x:f>'90天收支'!L36</x:f>
        <x:v>4150</x:v>
      </x:c>
      <x:c r="G7" s="26" t="n">
        <x:f>'90天收支'!S36</x:f>
        <x:v>21</x:v>
      </x:c>
    </x:row>
    <x:row r="8" ht="48" customHeight="1">
      <x:c r="A8" s="10" t="str">
        <x:v>付费方向</x:v>
      </x:c>
      <x:c r="B8" s="10" t="str">
        <x:v>外观大奖＋材料填池＋付费加速</x:v>
      </x:c>
      <x:c r="C8" s="10" t="str">
        <x:v>免费能完成；付费缩短等待、帮助赶上活动</x:v>
      </x:c>
      <x:c r="E8" s="26" t="str">
        <x:v>D60</x:v>
      </x:c>
      <x:c r="F8" s="26" t="n">
        <x:f>'90天收支'!L66</x:f>
        <x:v>3480</x:v>
      </x:c>
      <x:c r="G8" s="26" t="n">
        <x:f>'90天收支'!S66</x:f>
        <x:v>30</x:v>
      </x:c>
    </x:row>
    <x:row r="9" ht="48" customHeight="1">
      <x:c r="A9" s="9" t="str">
        <x:v>地区储备</x:v>
      </x:c>
      <x:c r="B9" s="27" t="n">
        <x:f>COUNTA('旅行地区'!A7:A30)</x:f>
        <x:v>24</x:v>
      </x:c>
      <x:c r="C9" s="9" t="str">
        <x:v>首发范围12，M2/M3/M4各4；实际日期受产能约束</x:v>
      </x:c>
      <x:c r="E9" s="26" t="str">
        <x:v>D90</x:v>
      </x:c>
      <x:c r="F9" s="26" t="n">
        <x:f>'90天收支'!L96</x:f>
        <x:v>6990</x:v>
      </x:c>
      <x:c r="G9" s="26" t="n">
        <x:f>'90天收支'!S96</x:f>
        <x:v>39</x:v>
      </x:c>
    </x:row>
    <x:row r="10" ht="48" customHeight="1">
      <x:c r="A10" s="10" t="str">
        <x:v>地区植物</x:v>
      </x:c>
      <x:c r="B10" s="28" t="n">
        <x:f>COUNTA('地区植物'!A7:A54)</x:f>
        <x:v>48</x:v>
      </x:c>
      <x:c r="C10" s="10" t="str">
        <x:v>每地区2种独立物种，不是只换来源标签</x:v>
      </x:c>
      <x:c r="E10" s="26"/>
      <x:c r="F10" s="26"/>
      <x:c r="G10" s="26"/>
    </x:row>
    <x:row r="11" ht="48" customHeight="1">
      <x:c r="A11" s="9" t="str">
        <x:v>家具规划</x:v>
      </x:c>
      <x:c r="B11" s="27" t="n">
        <x:f>COUNTA('家具目录'!A7:A150)</x:f>
        <x:v>144</x:v>
      </x:c>
      <x:c r="C11" s="9" t="str">
        <x:v>18套×8件；24基础件另计</x:v>
      </x:c>
      <x:c r="E11" s="26"/>
      <x:c r="F11" s="26"/>
      <x:c r="G11" s="26"/>
    </x:row>
    <x:row r="12" ht="48" customHeight="1">
      <x:c r="A12" s="10" t="str">
        <x:v>角色外观</x:v>
      </x:c>
      <x:c r="B12" s="28" t="n">
        <x:f>COUNTA('角色外观'!A7:A108)</x:f>
        <x:v>16</x:v>
      </x:c>
      <x:c r="C12" s="10" t="str">
        <x:v>首发6件，后续10件；按单件验收，不铺满套系</x:v>
      </x:c>
      <x:c r="E12" s="26"/>
      <x:c r="F12" s="26"/>
      <x:c r="G12" s="26"/>
    </x:row>
    <x:row r="13" ht="48" customHeight="1">
      <x:c r="A13" s="9" t="str">
        <x:v>首发家具</x:v>
      </x:c>
      <x:c r="B13" s="27" t="n">
        <x:f>COUNTIFS('家具目录'!E7:E150,"首发")</x:f>
        <x:v>96</x:v>
      </x:c>
      <x:c r="C13" s="9" t="str">
        <x:v>12套×8件；素材齐全才算完成</x:v>
      </x:c>
      <x:c r="E13" s="26"/>
      <x:c r="F13" s="26"/>
      <x:c r="G13" s="26"/>
    </x:row>
    <x:row r="14" ht="48" customHeight="1">
      <x:c r="A14" s="10" t="str">
        <x:v>首发外观</x:v>
      </x:c>
      <x:c r="B14" s="28" t="n">
        <x:f>COUNTIFS('角色外观'!F7:F108,"首发")</x:f>
        <x:v>6</x:v>
      </x:c>
      <x:c r="C14" s="10" t="str">
        <x:v>3件成长/基础外观＋3件抽取外观</x:v>
      </x:c>
      <x:c r="E14" s="26"/>
      <x:c r="F14" s="26"/>
      <x:c r="G14" s="26"/>
    </x:row>
    <x:row r="15" ht="48" customHeight="1">
      <x:c r="A15" s="9" t="str">
        <x:v>免费成长池</x:v>
      </x:c>
      <x:c r="B15" s="9" t="str">
        <x:v>花园币/补给券</x:v>
      </x:c>
      <x:c r="C15" s="9" t="str">
        <x:v>种子、肥料、家具；免费稳定供给</x:v>
      </x:c>
      <x:c r="E15" s="26"/>
      <x:c r="F15" s="26"/>
      <x:c r="G15" s="26"/>
    </x:row>
    <x:row r="16" ht="48" customHeight="1">
      <x:c r="A16" s="10" t="str">
        <x:v>付费珍藏池</x:v>
      </x:c>
      <x:c r="B16" s="10" t="str">
        <x:v>星晶/珍藏券</x:v>
      </x:c>
      <x:c r="C16" s="10" t="str">
        <x:v>种子/肥料/油/旅行券填池，外观大奖；每抽2碎片</x:v>
      </x:c>
      <x:c r="E16" s="26"/>
      <x:c r="F16" s="26"/>
      <x:c r="G16" s="26"/>
    </x:row>
    <x:row r="17" ht="48" customHeight="1">
      <x:c r="A17" s="9" t="str">
        <x:v>荣誉外观</x:v>
      </x:c>
      <x:c r="B17" s="9" t="str">
        <x:v>旅行、繁育、天气、互助</x:v>
      </x:c>
      <x:c r="C17" s="9" t="str">
        <x:v>付费加速可推进部分目标；荣誉本身不能直接购买</x:v>
      </x:c>
      <x:c r="E17" s="26"/>
      <x:c r="F17" s="26"/>
      <x:c r="G17" s="26"/>
    </x:row>
    <x:row r="18" ht="48" customHeight="1">
      <x:c r="A18" s="10" t="str">
        <x:v>D90免费珍藏抽数</x:v>
      </x:c>
      <x:c r="B18" s="28" t="n">
        <x:f>'概率与目标'!B9</x:f>
        <x:v>39</x:v>
      </x:c>
      <x:c r="C18" s="10" t="str">
        <x:v>预算下限，不含额外活动</x:v>
      </x:c>
      <x:c r="E18" s="26"/>
      <x:c r="F18" s="26"/>
      <x:c r="G18" s="26"/>
    </x:row>
    <x:row r="19" ht="48" customHeight="1">
      <x:c r="A19" s="9" t="str">
        <x:v>D90至少一SSR概率下界</x:v>
      </x:c>
      <x:c r="B19" s="29" t="n">
        <x:f>'概率与目标'!B10</x:f>
        <x:v>0.5452036694378053</x:v>
      </x:c>
      <x:c r="C19" s="9" t="str">
        <x:v>忽略SR保底的额外SSR机会；非指定单件概率</x:v>
      </x:c>
      <x:c r="E19" s="26"/>
      <x:c r="F19" s="26"/>
      <x:c r="G19" s="26"/>
    </x:row>
    <x:row r="20" ht="48" customHeight="1">
      <x:c r="A20" s="10" t="str">
        <x:v>D90金币结余</x:v>
      </x:c>
      <x:c r="B20" s="28" t="n">
        <x:f>'概率与目标'!B21</x:f>
        <x:v>6990</x:v>
      </x:c>
      <x:c r="C20" s="10" t="str">
        <x:v>含旅行/繁育/补给/实际家具消费</x:v>
      </x:c>
      <x:c r="E20" s="26"/>
      <x:c r="F20" s="26"/>
      <x:c r="G20" s="26"/>
    </x:row>
    <x:row r="21" ht="48" customHeight="1">
      <x:c r="A21" s="9" t="str">
        <x:v>动作生成定价</x:v>
      </x:c>
      <x:c r="B21" s="9" t="str">
        <x:v>报价需真实供应商账单</x:v>
      </x:c>
      <x:c r="C21" s="9" t="str">
        <x:v>当前云端无限额度是测试状态，不可直接商业化</x:v>
      </x:c>
      <x:c r="E21" s="26"/>
      <x:c r="F21" s="26"/>
      <x:c r="G21" s="26"/>
    </x:row>
    <x:row r="22" ht="48" customHeight="1">
      <x:c r="A22" s="10" t="str">
        <x:v>实施原则</x:v>
      </x:c>
      <x:c r="B22" s="10" t="str">
        <x:v>规划目录与上线内容分开</x:v>
      </x:c>
      <x:c r="C22" s="10" t="str">
        <x:v>P0账本与装配→P1免费闭环→P2真实付费</x:v>
      </x:c>
      <x:c r="E22" s="26"/>
      <x:c r="F22" s="26"/>
      <x:c r="G22" s="26"/>
    </x:row>
    <x:row r="23" ht="48" customHeight="1">
      <x:c r="A23" s="9" t="str">
        <x:v>当前缺口</x:v>
      </x:c>
      <x:c r="B23" s="9" t="str">
        <x:v>大部分外观与地区美术未制作</x:v>
      </x:c>
      <x:c r="C23" s="9" t="str">
        <x:v>本工作簿是正式版规划，不声称已开发</x:v>
      </x:c>
      <x:c r="E23" s="26"/>
      <x:c r="F23" s="26"/>
      <x:c r="G23" s="26"/>
    </x:row>
    <x:row r="24" ht="48" customHeight="1">
      <x:c r="A24" s="10" t="str">
        <x:v>待确认输入</x:v>
      </x:c>
      <x:c r="B24" s="10" t="str">
        <x:v>真实生成成本、制作产能、发行渠道</x:v>
      </x:c>
      <x:c r="C24" s="10" t="str">
        <x:v>黄色格可填；缺成本时价格模型不报利润</x:v>
      </x:c>
      <x:c r="E24" s="26"/>
      <x:c r="F24" s="26"/>
      <x:c r="G24" s="26"/>
    </x:row>
  </x:sheetData>
  <x:pageMargins left="0.7" right="0.7" top="0.75" bottom="0.75" header="0.3" footer="0.3"/>
  <x:drawing xmlns:r="http://schemas.openxmlformats.org/officeDocument/2006/relationships" r:id="R36d0eb8a02d343b4"/>
</x:worksheet>
</file>

<file path=xl/worksheets/sheet2.xml><?xml version="1.0" encoding="utf-8"?>
<x:worksheet xmlns:x="http://schemas.openxmlformats.org/spreadsheetml/2006/main">
  <x:sheetPr>
    <x:tabColor rgb="FF889BA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32" hidden="0" customWidth="1"/>
    <x:col min="3" max="3" width="18" hidden="0" customWidth="1"/>
    <x:col min="4" max="4" width="18" hidden="0" customWidth="1"/>
    <x:col min="5" max="5" width="64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参数</x:v>
      </x:c>
      <x:c r="B2" s="2"/>
      <x:c r="C2" s="2"/>
      <x:c r="D2" s="2"/>
      <x:c r="E2" s="2"/>
    </x:row>
    <x:row r="3">
      <x:c r="A3" s="4" t="str">
        <x:v>2026-09-29 · 正式版规划草案；不是当前线上规则</x:v>
      </x:c>
      <x:c r="B3" s="2"/>
      <x:c r="C3" s="2"/>
      <x:c r="D3" s="2"/>
      <x:c r="E3" s="2"/>
    </x:row>
    <x:row r="4">
      <x:c r="A4" s="2"/>
      <x:c r="B4" s="2"/>
      <x:c r="C4" s="2" t="str">
        <x:v>玩家档位</x:v>
      </x:c>
      <x:c r="D4" s="15" t="n">
        <x:v>2</x:v>
      </x:c>
      <x:c r="E4" s="2" t="str">
        <x:v>1轻度 / 2标准 / 3高活跃；只切换预算，不改变掉率</x:v>
      </x:c>
    </x:row>
    <x:row r="5">
      <x:c r="A5" s="2"/>
      <x:c r="B5" s="2"/>
      <x:c r="C5" s="2"/>
      <x:c r="D5" s="2"/>
      <x:c r="E5" s="2"/>
    </x:row>
    <x:row r="6" ht="34" customHeight="1">
      <x:c r="A6" s="8" t="str">
        <x:v>参数ID</x:v>
      </x:c>
      <x:c r="B6" s="8" t="str">
        <x:v>参数说明</x:v>
      </x:c>
      <x:c r="C6" s="8" t="str">
        <x:v>单位</x:v>
      </x:c>
      <x:c r="D6" s="8" t="str">
        <x:v>取值</x:v>
      </x:c>
      <x:c r="E6" s="8" t="str">
        <x:v>来源与边界</x:v>
      </x:c>
    </x:row>
    <x:row r="7" ht="48" customHeight="1">
      <x:c r="A7" s="11" t="str">
        <x:v>harvest</x:v>
      </x:c>
      <x:c r="B7" s="11" t="str">
        <x:v>每日收获株数</x:v>
      </x:c>
      <x:c r="C7" s="11" t="str">
        <x:v>株</x:v>
      </x:c>
      <x:c r="D7" s="12" t="n">
        <x:f>CHOOSE($D$4,D8,D9,D10)</x:f>
        <x:v>12</x:v>
      </x:c>
      <x:c r="E7" s="11" t="str">
        <x:v>活跃值：由 D4 的玩家档位决定</x:v>
      </x:c>
    </x:row>
    <x:row r="8" ht="48" customHeight="1">
      <x:c r="A8" s="10" t="str">
        <x:v>harvest_0</x:v>
      </x:c>
      <x:c r="B8" s="10" t="str">
        <x:v>轻度</x:v>
      </x:c>
      <x:c r="C8" s="10" t="str">
        <x:v>株</x:v>
      </x:c>
      <x:c r="D8" s="30" t="n">
        <x:v>8</x:v>
      </x:c>
      <x:c r="E8" s="10" t="str">
        <x:v>规划假设；不降低轻度玩家概率</x:v>
      </x:c>
    </x:row>
    <x:row r="9" ht="48" customHeight="1">
      <x:c r="A9" s="9" t="str">
        <x:v>harvest_1</x:v>
      </x:c>
      <x:c r="B9" s="9" t="str">
        <x:v>标准</x:v>
      </x:c>
      <x:c r="C9" s="9" t="str">
        <x:v>株</x:v>
      </x:c>
      <x:c r="D9" s="30" t="n">
        <x:v>12</x:v>
      </x:c>
      <x:c r="E9" s="9" t="str">
        <x:v>规划假设；不降低轻度玩家概率</x:v>
      </x:c>
    </x:row>
    <x:row r="10" ht="48" customHeight="1">
      <x:c r="A10" s="10" t="str">
        <x:v>harvest_2</x:v>
      </x:c>
      <x:c r="B10" s="10" t="str">
        <x:v>高活跃</x:v>
      </x:c>
      <x:c r="C10" s="10" t="str">
        <x:v>株</x:v>
      </x:c>
      <x:c r="D10" s="30" t="n">
        <x:v>24</x:v>
      </x:c>
      <x:c r="E10" s="10" t="str">
        <x:v>规划假设；不降低轻度玩家概率</x:v>
      </x:c>
    </x:row>
    <x:row r="11" ht="48" customHeight="1">
      <x:c r="A11" s="11" t="str">
        <x:v>sell</x:v>
      </x:c>
      <x:c r="B11" s="11" t="str">
        <x:v>收获出售比例</x:v>
      </x:c>
      <x:c r="C11" s="11" t="str">
        <x:v>比例</x:v>
      </x:c>
      <x:c r="D11" s="16" t="n">
        <x:f>CHOOSE($D$4,D12,D13,D14)</x:f>
        <x:v>0.75</x:v>
      </x:c>
      <x:c r="E11" s="11" t="str">
        <x:v>活跃值：由 D4 的玩家档位决定</x:v>
      </x:c>
    </x:row>
    <x:row r="12" ht="48" customHeight="1">
      <x:c r="A12" s="10" t="str">
        <x:v>sell_0</x:v>
      </x:c>
      <x:c r="B12" s="10" t="str">
        <x:v>轻度</x:v>
      </x:c>
      <x:c r="C12" s="10" t="str">
        <x:v>比例</x:v>
      </x:c>
      <x:c r="D12" s="30" t="n">
        <x:v>0.8</x:v>
      </x:c>
      <x:c r="E12" s="10" t="str">
        <x:v>规划假设；不降低轻度玩家概率</x:v>
      </x:c>
    </x:row>
    <x:row r="13" ht="48" customHeight="1">
      <x:c r="A13" s="9" t="str">
        <x:v>sell_1</x:v>
      </x:c>
      <x:c r="B13" s="9" t="str">
        <x:v>标准</x:v>
      </x:c>
      <x:c r="C13" s="9" t="str">
        <x:v>比例</x:v>
      </x:c>
      <x:c r="D13" s="30" t="n">
        <x:v>0.75</x:v>
      </x:c>
      <x:c r="E13" s="9" t="str">
        <x:v>规划假设；不降低轻度玩家概率</x:v>
      </x:c>
    </x:row>
    <x:row r="14" ht="48" customHeight="1">
      <x:c r="A14" s="10" t="str">
        <x:v>sell_2</x:v>
      </x:c>
      <x:c r="B14" s="10" t="str">
        <x:v>高活跃</x:v>
      </x:c>
      <x:c r="C14" s="10" t="str">
        <x:v>比例</x:v>
      </x:c>
      <x:c r="D14" s="30" t="n">
        <x:v>0.7</x:v>
      </x:c>
      <x:c r="E14" s="10" t="str">
        <x:v>规划假设；不降低轻度玩家概率</x:v>
      </x:c>
    </x:row>
    <x:row r="15" ht="48" customHeight="1">
      <x:c r="A15" s="11" t="str">
        <x:v>sale</x:v>
      </x:c>
      <x:c r="B15" s="11" t="str">
        <x:v>出售均价</x:v>
      </x:c>
      <x:c r="C15" s="11" t="str">
        <x:v>金币/株</x:v>
      </x:c>
      <x:c r="D15" s="12" t="n">
        <x:f>CHOOSE($D$4,D16,D17,D18)</x:f>
        <x:v>80</x:v>
      </x:c>
      <x:c r="E15" s="11" t="str">
        <x:v>活跃值：由 D4 的玩家档位决定</x:v>
      </x:c>
    </x:row>
    <x:row r="16" ht="48" customHeight="1">
      <x:c r="A16" s="10" t="str">
        <x:v>sale_0</x:v>
      </x:c>
      <x:c r="B16" s="10" t="str">
        <x:v>轻度</x:v>
      </x:c>
      <x:c r="C16" s="10" t="str">
        <x:v>金币/株</x:v>
      </x:c>
      <x:c r="D16" s="30" t="n">
        <x:v>95</x:v>
      </x:c>
      <x:c r="E16" s="10" t="str">
        <x:v>规划假设；不降低轻度玩家概率</x:v>
      </x:c>
    </x:row>
    <x:row r="17" ht="48" customHeight="1">
      <x:c r="A17" s="9" t="str">
        <x:v>sale_1</x:v>
      </x:c>
      <x:c r="B17" s="9" t="str">
        <x:v>标准</x:v>
      </x:c>
      <x:c r="C17" s="9" t="str">
        <x:v>金币/株</x:v>
      </x:c>
      <x:c r="D17" s="30" t="n">
        <x:v>80</x:v>
      </x:c>
      <x:c r="E17" s="9" t="str">
        <x:v>规划假设；不降低轻度玩家概率</x:v>
      </x:c>
    </x:row>
    <x:row r="18" ht="48" customHeight="1">
      <x:c r="A18" s="10" t="str">
        <x:v>sale_2</x:v>
      </x:c>
      <x:c r="B18" s="10" t="str">
        <x:v>高活跃</x:v>
      </x:c>
      <x:c r="C18" s="10" t="str">
        <x:v>金币/株</x:v>
      </x:c>
      <x:c r="D18" s="30" t="n">
        <x:v>55</x:v>
      </x:c>
      <x:c r="E18" s="10" t="str">
        <x:v>规划假设；不降低轻度玩家概率</x:v>
      </x:c>
    </x:row>
    <x:row r="19" ht="48" customHeight="1">
      <x:c r="A19" s="11" t="str">
        <x:v>seed</x:v>
      </x:c>
      <x:c r="B19" s="11" t="str">
        <x:v>种子均价</x:v>
      </x:c>
      <x:c r="C19" s="11" t="str">
        <x:v>金币/株</x:v>
      </x:c>
      <x:c r="D19" s="12" t="n">
        <x:f>CHOOSE($D$4,D20,D21,D22)</x:f>
        <x:v>20</x:v>
      </x:c>
      <x:c r="E19" s="11" t="str">
        <x:v>活跃值：由 D4 的玩家档位决定</x:v>
      </x:c>
    </x:row>
    <x:row r="20" ht="48" customHeight="1">
      <x:c r="A20" s="10" t="str">
        <x:v>seed_0</x:v>
      </x:c>
      <x:c r="B20" s="10" t="str">
        <x:v>轻度</x:v>
      </x:c>
      <x:c r="C20" s="10" t="str">
        <x:v>金币/株</x:v>
      </x:c>
      <x:c r="D20" s="30" t="n">
        <x:v>23</x:v>
      </x:c>
      <x:c r="E20" s="10" t="str">
        <x:v>规划假设；不降低轻度玩家概率</x:v>
      </x:c>
    </x:row>
    <x:row r="21" ht="48" customHeight="1">
      <x:c r="A21" s="9" t="str">
        <x:v>seed_1</x:v>
      </x:c>
      <x:c r="B21" s="9" t="str">
        <x:v>标准</x:v>
      </x:c>
      <x:c r="C21" s="9" t="str">
        <x:v>金币/株</x:v>
      </x:c>
      <x:c r="D21" s="30" t="n">
        <x:v>20</x:v>
      </x:c>
      <x:c r="E21" s="9" t="str">
        <x:v>规划假设；不降低轻度玩家概率</x:v>
      </x:c>
    </x:row>
    <x:row r="22" ht="48" customHeight="1">
      <x:c r="A22" s="10" t="str">
        <x:v>seed_2</x:v>
      </x:c>
      <x:c r="B22" s="10" t="str">
        <x:v>高活跃</x:v>
      </x:c>
      <x:c r="C22" s="10" t="str">
        <x:v>金币/株</x:v>
      </x:c>
      <x:c r="D22" s="30" t="n">
        <x:v>12</x:v>
      </x:c>
      <x:c r="E22" s="10" t="str">
        <x:v>规划假设；不降低轻度玩家概率</x:v>
      </x:c>
    </x:row>
    <x:row r="23" ht="48" customHeight="1">
      <x:c r="A23" s="11" t="str">
        <x:v>wishes</x:v>
      </x:c>
      <x:c r="B23" s="11" t="str">
        <x:v>日心愿完成数</x:v>
      </x:c>
      <x:c r="C23" s="11" t="str">
        <x:v>个</x:v>
      </x:c>
      <x:c r="D23" s="12" t="n">
        <x:f>CHOOSE($D$4,D24,D25,D26)</x:f>
        <x:v>2</x:v>
      </x:c>
      <x:c r="E23" s="11" t="str">
        <x:v>活跃值：由 D4 的玩家档位决定</x:v>
      </x:c>
    </x:row>
    <x:row r="24" ht="48" customHeight="1">
      <x:c r="A24" s="10" t="str">
        <x:v>wishes_0</x:v>
      </x:c>
      <x:c r="B24" s="10" t="str">
        <x:v>轻度</x:v>
      </x:c>
      <x:c r="C24" s="10" t="str">
        <x:v>个</x:v>
      </x:c>
      <x:c r="D24" s="30" t="n">
        <x:v>1</x:v>
      </x:c>
      <x:c r="E24" s="10" t="str">
        <x:v>规划假设；不降低轻度玩家概率</x:v>
      </x:c>
    </x:row>
    <x:row r="25" ht="48" customHeight="1">
      <x:c r="A25" s="9" t="str">
        <x:v>wishes_1</x:v>
      </x:c>
      <x:c r="B25" s="9" t="str">
        <x:v>标准</x:v>
      </x:c>
      <x:c r="C25" s="9" t="str">
        <x:v>个</x:v>
      </x:c>
      <x:c r="D25" s="30" t="n">
        <x:v>2</x:v>
      </x:c>
      <x:c r="E25" s="9" t="str">
        <x:v>规划假设；不降低轻度玩家概率</x:v>
      </x:c>
    </x:row>
    <x:row r="26" ht="48" customHeight="1">
      <x:c r="A26" s="10" t="str">
        <x:v>wishes_2</x:v>
      </x:c>
      <x:c r="B26" s="10" t="str">
        <x:v>高活跃</x:v>
      </x:c>
      <x:c r="C26" s="10" t="str">
        <x:v>个</x:v>
      </x:c>
      <x:c r="D26" s="30" t="n">
        <x:v>2</x:v>
      </x:c>
      <x:c r="E26" s="10" t="str">
        <x:v>规划假设；不降低轻度玩家概率</x:v>
      </x:c>
    </x:row>
    <x:row r="27" ht="48" customHeight="1">
      <x:c r="A27" s="11" t="str">
        <x:v>breed</x:v>
      </x:c>
      <x:c r="B27" s="11" t="str">
        <x:v>每日繁育次数</x:v>
      </x:c>
      <x:c r="C27" s="11" t="str">
        <x:v>次</x:v>
      </x:c>
      <x:c r="D27" s="12" t="n">
        <x:f>CHOOSE($D$4,D28,D29,D30)</x:f>
        <x:v>1</x:v>
      </x:c>
      <x:c r="E27" s="11" t="str">
        <x:v>活跃值：由 D4 的玩家档位决定</x:v>
      </x:c>
    </x:row>
    <x:row r="28" ht="48" customHeight="1">
      <x:c r="A28" s="10" t="str">
        <x:v>breed_0</x:v>
      </x:c>
      <x:c r="B28" s="10" t="str">
        <x:v>轻度</x:v>
      </x:c>
      <x:c r="C28" s="10" t="str">
        <x:v>次</x:v>
      </x:c>
      <x:c r="D28" s="30" t="n">
        <x:v>0.5</x:v>
      </x:c>
      <x:c r="E28" s="10" t="str">
        <x:v>规划假设；不降低轻度玩家概率</x:v>
      </x:c>
    </x:row>
    <x:row r="29" ht="48" customHeight="1">
      <x:c r="A29" s="9" t="str">
        <x:v>breed_1</x:v>
      </x:c>
      <x:c r="B29" s="9" t="str">
        <x:v>标准</x:v>
      </x:c>
      <x:c r="C29" s="9" t="str">
        <x:v>次</x:v>
      </x:c>
      <x:c r="D29" s="30" t="n">
        <x:v>1</x:v>
      </x:c>
      <x:c r="E29" s="9" t="str">
        <x:v>规划假设；不降低轻度玩家概率</x:v>
      </x:c>
    </x:row>
    <x:row r="30" ht="48" customHeight="1">
      <x:c r="A30" s="10" t="str">
        <x:v>breed_2</x:v>
      </x:c>
      <x:c r="B30" s="10" t="str">
        <x:v>高活跃</x:v>
      </x:c>
      <x:c r="C30" s="10" t="str">
        <x:v>次</x:v>
      </x:c>
      <x:c r="D30" s="30" t="n">
        <x:v>2</x:v>
      </x:c>
      <x:c r="E30" s="10" t="str">
        <x:v>规划假设；不降低轻度玩家概率</x:v>
      </x:c>
    </x:row>
    <x:row r="31" ht="48" customHeight="1">
      <x:c r="A31" s="11" t="str">
        <x:v>fert</x:v>
      </x:c>
      <x:c r="B31" s="11" t="str">
        <x:v>日加速肥预算</x:v>
      </x:c>
      <x:c r="C31" s="11" t="str">
        <x:v>金币</x:v>
      </x:c>
      <x:c r="D31" s="12" t="n">
        <x:f>CHOOSE($D$4,D32,D33,D34)</x:f>
        <x:v>10</x:v>
      </x:c>
      <x:c r="E31" s="11" t="str">
        <x:v>活跃值：由 D4 的玩家档位决定</x:v>
      </x:c>
    </x:row>
    <x:row r="32" ht="48" customHeight="1">
      <x:c r="A32" s="10" t="str">
        <x:v>fert_0</x:v>
      </x:c>
      <x:c r="B32" s="10" t="str">
        <x:v>轻度</x:v>
      </x:c>
      <x:c r="C32" s="10" t="str">
        <x:v>金币</x:v>
      </x:c>
      <x:c r="D32" s="30" t="n">
        <x:v>5</x:v>
      </x:c>
      <x:c r="E32" s="10" t="str">
        <x:v>规划假设；不降低轻度玩家概率</x:v>
      </x:c>
    </x:row>
    <x:row r="33" ht="48" customHeight="1">
      <x:c r="A33" s="9" t="str">
        <x:v>fert_1</x:v>
      </x:c>
      <x:c r="B33" s="9" t="str">
        <x:v>标准</x:v>
      </x:c>
      <x:c r="C33" s="9" t="str">
        <x:v>金币</x:v>
      </x:c>
      <x:c r="D33" s="30" t="n">
        <x:v>10</x:v>
      </x:c>
      <x:c r="E33" s="9" t="str">
        <x:v>规划假设；不降低轻度玩家概率</x:v>
      </x:c>
    </x:row>
    <x:row r="34" ht="48" customHeight="1">
      <x:c r="A34" s="10" t="str">
        <x:v>fert_2</x:v>
      </x:c>
      <x:c r="B34" s="10" t="str">
        <x:v>高活跃</x:v>
      </x:c>
      <x:c r="C34" s="10" t="str">
        <x:v>金币</x:v>
      </x:c>
      <x:c r="D34" s="30" t="n">
        <x:v>20</x:v>
      </x:c>
      <x:c r="E34" s="10" t="str">
        <x:v>规划假设；不降低轻度玩家概率</x:v>
      </x:c>
    </x:row>
    <x:row r="35" ht="48" customHeight="1">
      <x:c r="A35" s="11" t="str">
        <x:v>trips</x:v>
      </x:c>
      <x:c r="B35" s="11" t="str">
        <x:v>每周普通旅行</x:v>
      </x:c>
      <x:c r="C35" s="11" t="str">
        <x:v>次</x:v>
      </x:c>
      <x:c r="D35" s="12" t="n">
        <x:f>CHOOSE($D$4,D36,D37,D38)</x:f>
        <x:v>3</x:v>
      </x:c>
      <x:c r="E35" s="11" t="str">
        <x:v>活跃值：由 D4 的玩家档位决定</x:v>
      </x:c>
    </x:row>
    <x:row r="36" ht="48" customHeight="1">
      <x:c r="A36" s="10" t="str">
        <x:v>trips_0</x:v>
      </x:c>
      <x:c r="B36" s="10" t="str">
        <x:v>轻度</x:v>
      </x:c>
      <x:c r="C36" s="10" t="str">
        <x:v>次</x:v>
      </x:c>
      <x:c r="D36" s="30" t="n">
        <x:v>2</x:v>
      </x:c>
      <x:c r="E36" s="10" t="str">
        <x:v>规划假设；不降低轻度玩家概率</x:v>
      </x:c>
    </x:row>
    <x:row r="37" ht="48" customHeight="1">
      <x:c r="A37" s="9" t="str">
        <x:v>trips_1</x:v>
      </x:c>
      <x:c r="B37" s="9" t="str">
        <x:v>标准</x:v>
      </x:c>
      <x:c r="C37" s="9" t="str">
        <x:v>次</x:v>
      </x:c>
      <x:c r="D37" s="30" t="n">
        <x:v>3</x:v>
      </x:c>
      <x:c r="E37" s="9" t="str">
        <x:v>规划假设；不降低轻度玩家概率</x:v>
      </x:c>
    </x:row>
    <x:row r="38" ht="48" customHeight="1">
      <x:c r="A38" s="10" t="str">
        <x:v>trips_2</x:v>
      </x:c>
      <x:c r="B38" s="10" t="str">
        <x:v>高活跃</x:v>
      </x:c>
      <x:c r="C38" s="10" t="str">
        <x:v>次</x:v>
      </x:c>
      <x:c r="D38" s="30" t="n">
        <x:v>4</x:v>
      </x:c>
      <x:c r="E38" s="10" t="str">
        <x:v>规划假设；不降低轻度玩家概率</x:v>
      </x:c>
    </x:row>
    <x:row r="39" ht="48" customHeight="1">
      <x:c r="A39" s="11" t="str">
        <x:v>supply</x:v>
      </x:c>
      <x:c r="B39" s="11" t="str">
        <x:v>每周额外金币抽取</x:v>
      </x:c>
      <x:c r="C39" s="11" t="str">
        <x:v>抽</x:v>
      </x:c>
      <x:c r="D39" s="12" t="n">
        <x:f>CHOOSE($D$4,D40,D41,D42)</x:f>
        <x:v>1</x:v>
      </x:c>
      <x:c r="E39" s="11" t="str">
        <x:v>活跃值：由 D4 的玩家档位决定</x:v>
      </x:c>
    </x:row>
    <x:row r="40" ht="48" customHeight="1">
      <x:c r="A40" s="10" t="str">
        <x:v>supply_0</x:v>
      </x:c>
      <x:c r="B40" s="10" t="str">
        <x:v>轻度</x:v>
      </x:c>
      <x:c r="C40" s="10" t="str">
        <x:v>抽</x:v>
      </x:c>
      <x:c r="D40" s="30" t="n">
        <x:v>0</x:v>
      </x:c>
      <x:c r="E40" s="10" t="str">
        <x:v>规划假设；不降低轻度玩家概率</x:v>
      </x:c>
    </x:row>
    <x:row r="41" ht="48" customHeight="1">
      <x:c r="A41" s="9" t="str">
        <x:v>supply_1</x:v>
      </x:c>
      <x:c r="B41" s="9" t="str">
        <x:v>标准</x:v>
      </x:c>
      <x:c r="C41" s="9" t="str">
        <x:v>抽</x:v>
      </x:c>
      <x:c r="D41" s="30" t="n">
        <x:v>1</x:v>
      </x:c>
      <x:c r="E41" s="9" t="str">
        <x:v>规划假设；不降低轻度玩家概率</x:v>
      </x:c>
    </x:row>
    <x:row r="42" ht="48" customHeight="1">
      <x:c r="A42" s="10" t="str">
        <x:v>supply_2</x:v>
      </x:c>
      <x:c r="B42" s="10" t="str">
        <x:v>高活跃</x:v>
      </x:c>
      <x:c r="C42" s="10" t="str">
        <x:v>抽</x:v>
      </x:c>
      <x:c r="D42" s="30" t="n">
        <x:v>2</x:v>
      </x:c>
      <x:c r="E42" s="10" t="str">
        <x:v>规划假设；不降低轻度玩家概率</x:v>
      </x:c>
    </x:row>
    <x:row r="43" ht="48" customHeight="1">
      <x:c r="A43" s="11" t="str">
        <x:v>furn</x:v>
      </x:c>
      <x:c r="B43" s="11" t="str">
        <x:v>每周普通家具预算</x:v>
      </x:c>
      <x:c r="C43" s="11" t="str">
        <x:v>金币</x:v>
      </x:c>
      <x:c r="D43" s="12" t="n">
        <x:f>CHOOSE($D$4,D44,D45,D46)</x:f>
        <x:v>900</x:v>
      </x:c>
      <x:c r="E43" s="11" t="str">
        <x:v>活跃值：由 D4 的玩家档位决定</x:v>
      </x:c>
    </x:row>
    <x:row r="44" ht="48" customHeight="1">
      <x:c r="A44" s="10" t="str">
        <x:v>furn_0</x:v>
      </x:c>
      <x:c r="B44" s="10" t="str">
        <x:v>轻度</x:v>
      </x:c>
      <x:c r="C44" s="10" t="str">
        <x:v>金币</x:v>
      </x:c>
      <x:c r="D44" s="30" t="n">
        <x:v>600</x:v>
      </x:c>
      <x:c r="E44" s="10" t="str">
        <x:v>规划假设；不降低轻度玩家概率</x:v>
      </x:c>
    </x:row>
    <x:row r="45" ht="48" customHeight="1">
      <x:c r="A45" s="9" t="str">
        <x:v>furn_1</x:v>
      </x:c>
      <x:c r="B45" s="9" t="str">
        <x:v>标准</x:v>
      </x:c>
      <x:c r="C45" s="9" t="str">
        <x:v>金币</x:v>
      </x:c>
      <x:c r="D45" s="30" t="n">
        <x:v>900</x:v>
      </x:c>
      <x:c r="E45" s="9" t="str">
        <x:v>规划假设；不降低轻度玩家概率</x:v>
      </x:c>
    </x:row>
    <x:row r="46" ht="48" customHeight="1">
      <x:c r="A46" s="10" t="str">
        <x:v>furn_2</x:v>
      </x:c>
      <x:c r="B46" s="10" t="str">
        <x:v>高活跃</x:v>
      </x:c>
      <x:c r="C46" s="10" t="str">
        <x:v>金币</x:v>
      </x:c>
      <x:c r="D46" s="30" t="n">
        <x:v>1200</x:v>
      </x:c>
      <x:c r="E46" s="10" t="str">
        <x:v>规划假设；不降低轻度玩家概率</x:v>
      </x:c>
    </x:row>
    <x:row r="47" ht="48" customHeight="1">
      <x:c r="A47" s="11" t="str">
        <x:v>minutes</x:v>
      </x:c>
      <x:c r="B47" s="11" t="str">
        <x:v>日主动游玩时间</x:v>
      </x:c>
      <x:c r="C47" s="11" t="str">
        <x:v>分钟</x:v>
      </x:c>
      <x:c r="D47" s="12" t="n">
        <x:f>CHOOSE($D$4,D48,D49,D50)</x:f>
        <x:v>15</x:v>
      </x:c>
      <x:c r="E47" s="11" t="str">
        <x:v>活跃值：由 D4 的玩家档位决定</x:v>
      </x:c>
    </x:row>
    <x:row r="48" ht="48" customHeight="1">
      <x:c r="A48" s="10" t="str">
        <x:v>minutes_0</x:v>
      </x:c>
      <x:c r="B48" s="10" t="str">
        <x:v>轻度</x:v>
      </x:c>
      <x:c r="C48" s="10" t="str">
        <x:v>分钟</x:v>
      </x:c>
      <x:c r="D48" s="30" t="n">
        <x:v>8</x:v>
      </x:c>
      <x:c r="E48" s="10" t="str">
        <x:v>规划假设；不降低轻度玩家概率</x:v>
      </x:c>
    </x:row>
    <x:row r="49" ht="48" customHeight="1">
      <x:c r="A49" s="9" t="str">
        <x:v>minutes_1</x:v>
      </x:c>
      <x:c r="B49" s="9" t="str">
        <x:v>标准</x:v>
      </x:c>
      <x:c r="C49" s="9" t="str">
        <x:v>分钟</x:v>
      </x:c>
      <x:c r="D49" s="30" t="n">
        <x:v>15</x:v>
      </x:c>
      <x:c r="E49" s="9" t="str">
        <x:v>规划假设；不降低轻度玩家概率</x:v>
      </x:c>
    </x:row>
    <x:row r="50" ht="48" customHeight="1">
      <x:c r="A50" s="10" t="str">
        <x:v>minutes_2</x:v>
      </x:c>
      <x:c r="B50" s="10" t="str">
        <x:v>高活跃</x:v>
      </x:c>
      <x:c r="C50" s="10" t="str">
        <x:v>分钟</x:v>
      </x:c>
      <x:c r="D50" s="30" t="n">
        <x:v>25</x:v>
      </x:c>
      <x:c r="E50" s="10" t="str">
        <x:v>规划假设；不降低轻度玩家概率</x:v>
      </x:c>
    </x:row>
    <x:row r="51" ht="48" customHeight="1">
      <x:c r="A51" s="9" t="str">
        <x:v>initial</x:v>
      </x:c>
      <x:c r="B51" s="9" t="str">
        <x:v>首日周转金币（总额）</x:v>
      </x:c>
      <x:c r="C51" s="9" t="str">
        <x:v>金币</x:v>
      </x:c>
      <x:c r="D51" s="30" t="n">
        <x:v>600</x:v>
      </x:c>
      <x:c r="E51" s="9" t="str">
        <x:v>替换测试初始180；不再重复计新手金币</x:v>
      </x:c>
    </x:row>
    <x:row r="52" ht="48" customHeight="1">
      <x:c r="A52" s="10" t="str">
        <x:v>reserve</x:v>
      </x:c>
      <x:c r="B52" s="10" t="str">
        <x:v>最低留存周转金</x:v>
      </x:c>
      <x:c r="C52" s="10" t="str">
        <x:v>金币</x:v>
      </x:c>
      <x:c r="D52" s="30" t="n">
        <x:v>300</x:v>
      </x:c>
      <x:c r="E52" s="10" t="str">
        <x:v>保证补种；可选消费不足则跳过</x:v>
      </x:c>
    </x:row>
    <x:row r="53" ht="48" customHeight="1">
      <x:c r="A53" s="9" t="str">
        <x:v>wishPay</x:v>
      </x:c>
      <x:c r="B53" s="9" t="str">
        <x:v>每份心愿奖励</x:v>
      </x:c>
      <x:c r="C53" s="9" t="str">
        <x:v>金币</x:v>
      </x:c>
      <x:c r="D53" s="30" t="n">
        <x:v>20</x:v>
      </x:c>
      <x:c r="E53" s="9" t="str">
        <x:v>沿用当前正式结算</x:v>
      </x:c>
    </x:row>
    <x:row r="54" ht="48" customHeight="1">
      <x:c r="A54" s="10" t="str">
        <x:v>weekGold</x:v>
      </x:c>
      <x:c r="B54" s="10" t="str">
        <x:v>周委托金币</x:v>
      </x:c>
      <x:c r="C54" s="10" t="str">
        <x:v>金币</x:v>
      </x:c>
      <x:c r="D54" s="30" t="n">
        <x:v>140</x:v>
      </x:c>
      <x:c r="E54" s="10" t="str">
        <x:v>规划新增；每周一次</x:v>
      </x:c>
    </x:row>
    <x:row r="55" ht="48" customHeight="1">
      <x:c r="A55" s="9" t="str">
        <x:v>oil</x:v>
      </x:c>
      <x:c r="B55" s="9" t="str">
        <x:v>普通精油价</x:v>
      </x:c>
      <x:c r="C55" s="9" t="str">
        <x:v>金币</x:v>
      </x:c>
      <x:c r="D55" s="30" t="n">
        <x:v>35</x:v>
      </x:c>
      <x:c r="E55" s="9" t="str">
        <x:v>沿用当前；模型按普通油计</x:v>
      </x:c>
    </x:row>
    <x:row r="56" ht="48" customHeight="1">
      <x:c r="A56" s="10" t="str">
        <x:v>trip1</x:v>
      </x:c>
      <x:c r="B56" s="10" t="str">
        <x:v>D1—30平均旅行费用</x:v>
      </x:c>
      <x:c r="C56" s="10" t="str">
        <x:v>金币</x:v>
      </x:c>
      <x:c r="D56" s="30" t="n">
        <x:v>200</x:v>
      </x:c>
      <x:c r="E56" s="10" t="str">
        <x:v>预算均值；单目的地价格见旅行地区</x:v>
      </x:c>
    </x:row>
    <x:row r="57" ht="48" customHeight="1">
      <x:c r="A57" s="9" t="str">
        <x:v>trip2</x:v>
      </x:c>
      <x:c r="B57" s="9" t="str">
        <x:v>D31—60平均旅行费用</x:v>
      </x:c>
      <x:c r="C57" s="9" t="str">
        <x:v>金币</x:v>
      </x:c>
      <x:c r="D57" s="30" t="n">
        <x:v>360</x:v>
      </x:c>
      <x:c r="E57" s="9" t="str">
        <x:v>预算均值</x:v>
      </x:c>
    </x:row>
    <x:row r="58" ht="48" customHeight="1">
      <x:c r="A58" s="10" t="str">
        <x:v>trip3</x:v>
      </x:c>
      <x:c r="B58" s="10" t="str">
        <x:v>D61—90平均旅行费用</x:v>
      </x:c>
      <x:c r="C58" s="10" t="str">
        <x:v>金币</x:v>
      </x:c>
      <x:c r="D58" s="30" t="n">
        <x:v>500</x:v>
      </x:c>
      <x:c r="E58" s="10" t="str">
        <x:v>预算均值</x:v>
      </x:c>
    </x:row>
    <x:row r="59" ht="48" customHeight="1">
      <x:c r="A59" s="9" t="str">
        <x:v>supplyCost</x:v>
      </x:c>
      <x:c r="B59" s="9" t="str">
        <x:v>补给池金币单抽</x:v>
      </x:c>
      <x:c r="C59" s="9" t="str">
        <x:v>金币</x:v>
      </x:c>
      <x:c r="D59" s="30" t="n">
        <x:v>300</x:v>
      </x:c>
      <x:c r="E59" s="9" t="str">
        <x:v>规划正式免费池；测试代币池将迁移</x:v>
      </x:c>
    </x:row>
    <x:row r="60" ht="48" customHeight="1">
      <x:c r="A60" s="10" t="str">
        <x:v>starsPerYuan</x:v>
      </x:c>
      <x:c r="B60" s="10" t="str">
        <x:v>每元购买基础星晶</x:v>
      </x:c>
      <x:c r="C60" s="10" t="str">
        <x:v>星晶/元</x:v>
      </x:c>
      <x:c r="D60" s="30" t="n">
        <x:v>10</x:v>
      </x:c>
      <x:c r="E60" s="10" t="str">
        <x:v>设计报价；尚未接真实支付</x:v>
      </x:c>
    </x:row>
    <x:row r="61" ht="48" customHeight="1">
      <x:c r="A61" s="9" t="str">
        <x:v>cosmeticCost</x:v>
      </x:c>
      <x:c r="B61" s="9" t="str">
        <x:v>珍藏池每抽</x:v>
      </x:c>
      <x:c r="C61" s="9" t="str">
        <x:v>星晶</x:v>
      </x:c>
      <x:c r="D61" s="30" t="n">
        <x:v>60</x:v>
      </x:c>
      <x:c r="E61" s="9" t="str">
        <x:v>混合池：材料常规回报、家具中间奖励、外观大奖</x:v>
      </x:c>
    </x:row>
    <x:row r="62" ht="48" customHeight="1">
      <x:c r="A62" s="10" t="str">
        <x:v>weeklyStars</x:v>
      </x:c>
      <x:c r="B62" s="10" t="str">
        <x:v>每周赠送星晶</x:v>
      </x:c>
      <x:c r="C62" s="10" t="str">
        <x:v>星晶</x:v>
      </x:c>
      <x:c r="D62" s="30" t="n">
        <x:v>60</x:v>
      </x:c>
      <x:c r="E62" s="10" t="str">
        <x:v>赠送子账本，不用于模型生成</x:v>
      </x:c>
    </x:row>
    <x:row r="63" ht="48" customHeight="1">
      <x:c r="A63" s="9" t="str">
        <x:v>monthlyStars</x:v>
      </x:c>
      <x:c r="B63" s="9" t="str">
        <x:v>每30日图鉴赠送</x:v>
      </x:c>
      <x:c r="C63" s="9" t="str">
        <x:v>星晶</x:v>
      </x:c>
      <x:c r="D63" s="30" t="n">
        <x:v>60</x:v>
      </x:c>
      <x:c r="E63" s="9" t="str">
        <x:v>完成任意收藏里程碑；可补领</x:v>
      </x:c>
    </x:row>
    <x:row r="64" ht="48" customHeight="1">
      <x:c r="A64" s="10" t="str">
        <x:v>newStars</x:v>
      </x:c>
      <x:c r="B64" s="10" t="str">
        <x:v>新手赠送星晶</x:v>
      </x:c>
      <x:c r="C64" s="10" t="str">
        <x:v>星晶</x:v>
      </x:c>
      <x:c r="D64" s="30" t="n">
        <x:v>120</x:v>
      </x:c>
      <x:c r="E64" s="10" t="str">
        <x:v>仅一次；与付费星晶分账</x:v>
      </x:c>
    </x:row>
    <x:row r="65" ht="48" customHeight="1">
      <x:c r="A65" s="9" t="str">
        <x:v>newTickets</x:v>
      </x:c>
      <x:c r="B65" s="9" t="str">
        <x:v>新手珍藏券总数</x:v>
      </x:c>
      <x:c r="C65" s="9" t="str">
        <x:v>张</x:v>
      </x:c>
      <x:c r="D65" s="30" t="n">
        <x:v>10</x:v>
      </x:c>
      <x:c r="E65" s="9" t="str">
        <x:v>D1五张、D7五张，常驻池</x:v>
      </x:c>
    </x:row>
    <x:row r="66" ht="48" customHeight="1">
      <x:c r="A66" s="10" t="str">
        <x:v>weeklyTickets</x:v>
      </x:c>
      <x:c r="B66" s="10" t="str">
        <x:v>周委托珍藏券</x:v>
      </x:c>
      <x:c r="C66" s="10" t="str">
        <x:v>张</x:v>
      </x:c>
      <x:c r="D66" s="30" t="n">
        <x:v>1</x:v>
      </x:c>
      <x:c r="E66" s="10" t="str">
        <x:v>每周一次；不强制真人社交</x:v>
      </x:c>
    </x:row>
    <x:row r="67" ht="48" customHeight="1">
      <x:c r="A67" s="9" t="str">
        <x:v>weeklySupply</x:v>
      </x:c>
      <x:c r="B67" s="9" t="str">
        <x:v>周委托补给券</x:v>
      </x:c>
      <x:c r="C67" s="9" t="str">
        <x:v>张</x:v>
      </x:c>
      <x:c r="D67" s="30" t="n">
        <x:v>2</x:v>
      </x:c>
      <x:c r="E67" s="9" t="str">
        <x:v>仅免费补给池，不转付费券</x:v>
      </x:c>
    </x:row>
    <x:row r="68" ht="48" customHeight="1">
      <x:c r="A68" s="10" t="str">
        <x:v>weeklyDust</x:v>
      </x:c>
      <x:c r="B68" s="10" t="str">
        <x:v>周委托星屑</x:v>
      </x:c>
      <x:c r="C68" s="10" t="str">
        <x:v>星屑</x:v>
      </x:c>
      <x:c r="D68" s="30" t="n">
        <x:v>5</x:v>
      </x:c>
      <x:c r="E68" s="10" t="str">
        <x:v>每周一次，禁止送礼转账</x:v>
      </x:c>
    </x:row>
    <x:row r="69" ht="48" customHeight="1">
      <x:c r="A69" s="9" t="str">
        <x:v>newDust</x:v>
      </x:c>
      <x:c r="B69" s="9" t="str">
        <x:v>D7新手星屑</x:v>
      </x:c>
      <x:c r="C69" s="9" t="str">
        <x:v>星屑</x:v>
      </x:c>
      <x:c r="D69" s="30" t="n">
        <x:v>10</x:v>
      </x:c>
      <x:c r="E69" s="9" t="str">
        <x:v>仅一次</x:v>
      </x:c>
    </x:row>
    <x:row r="70" ht="48" customHeight="1">
      <x:c r="A70" s="10" t="str">
        <x:v>monthlyCash</x:v>
      </x:c>
      <x:c r="B70" s="10" t="str">
        <x:v>每30日充值预算</x:v>
      </x:c>
      <x:c r="C70" s="10" t="str">
        <x:v>元</x:v>
      </x:c>
      <x:c r="D70" s="30" t="n">
        <x:v>0</x:v>
      </x:c>
      <x:c r="E70" s="10" t="str">
        <x:v>默认免费玩家；可改测消费情景</x:v>
      </x:c>
    </x:row>
    <x:row r="71" ht="48" customHeight="1">
      <x:c r="A71" s="9" t="str">
        <x:v>payBonus</x:v>
      </x:c>
      <x:c r="B71" s="9" t="str">
        <x:v>最大常规充值加赠比例</x:v>
      </x:c>
      <x:c r="C71" s="9" t="str">
        <x:v>比例</x:v>
      </x:c>
      <x:c r="D71" s="31" t="n">
        <x:v>0.1</x:v>
      </x:c>
      <x:c r="E71" s="9" t="str">
        <x:v>成本核算按最优惠常规包</x:v>
      </x:c>
    </x:row>
    <x:row r="72" ht="48" customHeight="1">
      <x:c r="A72" s="10" t="str">
        <x:v>channelFee</x:v>
      </x:c>
      <x:c r="B72" s="10" t="str">
        <x:v>渠道与支付费用假设</x:v>
      </x:c>
      <x:c r="C72" s="10" t="str">
        <x:v>比例</x:v>
      </x:c>
      <x:c r="D72" s="31" t="n">
        <x:v>0.3</x:v>
      </x:c>
      <x:c r="E72" s="10" t="str">
        <x:v>压力假设，不代表已签渠道费率</x:v>
      </x:c>
    </x:row>
    <x:row r="73" ht="48" customHeight="1">
      <x:c r="A73" s="9" t="str">
        <x:v>margin</x:v>
      </x:c>
      <x:c r="B73" s="9" t="str">
        <x:v>生成服务目标贡献率</x:v>
      </x:c>
      <x:c r="C73" s="9" t="str">
        <x:v>比例</x:v>
      </x:c>
      <x:c r="D73" s="31" t="n">
        <x:v>0.5</x:v>
      </x:c>
      <x:c r="E73" s="9" t="str">
        <x:v>需真实账单校准，非承诺毛利</x:v>
      </x:c>
    </x:row>
    <x:row r="74" ht="48" customHeight="1">
      <x:c r="A74" s="10" t="str">
        <x:v>srP</x:v>
      </x:c>
      <x:c r="B74" s="10" t="str">
        <x:v>珍藏池SR基础概率</x:v>
      </x:c>
      <x:c r="C74" s="10" t="str">
        <x:v>比例</x:v>
      </x:c>
      <x:c r="D74" s="31" t="n">
        <x:v>0.18</x:v>
      </x:c>
      <x:c r="E74" s="10" t="str">
        <x:v>R 80% / SR18% / SSR2%</x:v>
      </x:c>
    </x:row>
    <x:row r="75" ht="48" customHeight="1">
      <x:c r="A75" s="9" t="str">
        <x:v>ssrP</x:v>
      </x:c>
      <x:c r="B75" s="9" t="str">
        <x:v>珍藏池SSR基础概率</x:v>
      </x:c>
      <x:c r="C75" s="9" t="str">
        <x:v>比例</x:v>
      </x:c>
      <x:c r="D75" s="31" t="n">
        <x:v>0.02</x:v>
      </x:c>
      <x:c r="E75" s="9" t="str">
        <x:v>30天上新不重置保底</x:v>
      </x:c>
    </x:row>
    <x:row r="76" ht="48" customHeight="1">
      <x:c r="A76" s="10" t="str">
        <x:v>ssrN</x:v>
      </x:c>
      <x:c r="B76" s="10" t="str">
        <x:v>珍藏池SSR硬保底</x:v>
      </x:c>
      <x:c r="C76" s="10" t="str">
        <x:v>抽</x:v>
      </x:c>
      <x:c r="D76" s="30" t="n">
        <x:v>60</x:v>
      </x:c>
      <x:c r="E76" s="10" t="str">
        <x:v>常驻池和赛季池分别累计</x:v>
      </x:c>
    </x:row>
    <x:row r="77" ht="48" customHeight="1">
      <x:c r="A77" s="9" t="str">
        <x:v>srN</x:v>
      </x:c>
      <x:c r="B77" s="9" t="str">
        <x:v>珍藏池SR以上硬保底</x:v>
      </x:c>
      <x:c r="C77" s="9" t="str">
        <x:v>抽</x:v>
      </x:c>
      <x:c r="D77" s="30" t="n">
        <x:v>10</x:v>
      </x:c>
      <x:c r="E77" s="9" t="str">
        <x:v>SSR同样重置SR计数</x:v>
      </x:c>
    </x:row>
  </x:sheetData>
  <x:dataValidations count="1">
    <x:dataValidation type="whole" operator="between" sqref="D4">
      <x:formula1>1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117760db7164f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3" hidden="0" customWidth="1"/>
    <x:col min="3" max="3" width="23" hidden="0" customWidth="1"/>
    <x:col min="4" max="4" width="40" hidden="0" customWidth="1"/>
    <x:col min="5" max="5" width="47" hidden="0" customWidth="1"/>
    <x:col min="6" max="6" width="49" hidden="0" customWidth="1"/>
    <x:col min="7" max="7" width="16" hidden="0" customWidth="1"/>
    <x:col min="8" max="8" width="20" hidden="0" customWidth="1"/>
    <x:col min="9" max="9" width="40" hidden="0" customWidth="1"/>
    <x:col min="10" max="10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货币与投放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8" t="str">
        <x:v>资产ID</x:v>
      </x:c>
      <x:c r="B6" s="8" t="str">
        <x:v>名称</x:v>
      </x:c>
      <x:c r="C6" s="8" t="str">
        <x:v>定位</x:v>
      </x:c>
      <x:c r="D6" s="8" t="str">
        <x:v>产出</x:v>
      </x:c>
      <x:c r="E6" s="8" t="str">
        <x:v>消耗</x:v>
      </x:c>
      <x:c r="F6" s="8" t="str">
        <x:v>转换规则</x:v>
      </x:c>
      <x:c r="G6" s="8" t="str">
        <x:v>流通</x:v>
      </x:c>
      <x:c r="H6" s="8" t="str">
        <x:v>有效期</x:v>
      </x:c>
      <x:c r="I6" s="8" t="str">
        <x:v>设计作用</x:v>
      </x:c>
      <x:c r="J6" s="8" t="str">
        <x:v>状态</x:v>
      </x:c>
    </x:row>
    <x:row r="7" ht="48" customHeight="1">
      <x:c r="A7" s="9" t="str">
        <x:v>C_GOLD</x:v>
      </x:c>
      <x:c r="B7" s="9" t="str">
        <x:v>花园币</x:v>
      </x:c>
      <x:c r="C7" s="9" t="str">
        <x:v>免费主货币</x:v>
      </x:c>
      <x:c r="D7" s="9" t="str">
        <x:v>种植出售、心愿、周委托</x:v>
      </x:c>
      <x:c r="E7" s="9" t="str">
        <x:v>种子、肥料、精油、旅行、免费补给池、家具</x:v>
      </x:c>
      <x:c r="F7" s="9" t="str">
        <x:v>星晶可买限量周转金币；不支持逆兑</x:v>
      </x:c>
      <x:c r="G7" s="9" t="str">
        <x:v>不可交易</x:v>
      </x:c>
      <x:c r="H7" s="9" t="str">
        <x:v>无过期</x:v>
      </x:c>
      <x:c r="I7" s="9" t="str">
        <x:v>日常可完成全部成长</x:v>
      </x:c>
      <x:c r="J7" s="9" t="str">
        <x:v>现有；新增投放待开发</x:v>
      </x:c>
    </x:row>
    <x:row r="8" ht="48" customHeight="1">
      <x:c r="A8" s="10" t="str">
        <x:v>C_STAR_PAID</x:v>
      </x:c>
      <x:c r="B8" s="10" t="str">
        <x:v>星晶（购买）</x:v>
      </x:c>
      <x:c r="C8" s="10" t="str">
        <x:v>付费主货币子账</x:v>
      </x:c>
      <x:c r="D8" s="10" t="str">
        <x:v>充值到账</x:v>
      </x:c>
      <x:c r="E8" s="10" t="str">
        <x:v>混合珍藏抽取、外观直购、加速、动作生成</x:v>
      </x:c>
      <x:c r="F8" s="10" t="str">
        <x:v>单向按订单消费，不兑换金币</x:v>
      </x:c>
      <x:c r="G8" s="10" t="str">
        <x:v>不可交易</x:v>
      </x:c>
      <x:c r="H8" s="10" t="str">
        <x:v>无过期</x:v>
      </x:c>
      <x:c r="I8" s="10" t="str">
        <x:v>真实付费，账本必须权威</x:v>
      </x:c>
      <x:c r="J8" s="10" t="str">
        <x:v>待开发</x:v>
      </x:c>
    </x:row>
    <x:row r="9" ht="48" customHeight="1">
      <x:c r="A9" s="9" t="str">
        <x:v>C_STAR_GIFT</x:v>
      </x:c>
      <x:c r="B9" s="9" t="str">
        <x:v>星晶（赠送）</x:v>
      </x:c>
      <x:c r="C9" s="9" t="str">
        <x:v>同星晶的赠送子账</x:v>
      </x:c>
      <x:c r="D9" s="9" t="str">
        <x:v>新手、周委托、每30日收藏</x:v>
      </x:c>
      <x:c r="E9" s="9" t="str">
        <x:v>混合珍藏抽取、直购、加速</x:v>
      </x:c>
      <x:c r="F9" s="9" t="str">
        <x:v>先花赠送余额；不能支付生成服务</x:v>
      </x:c>
      <x:c r="G9" s="9" t="str">
        <x:v>不可交易</x:v>
      </x:c>
      <x:c r="H9" s="9" t="str">
        <x:v>无过期</x:v>
      </x:c>
      <x:c r="I9" s="9" t="str">
        <x:v>避免免费星晶无限消耗模型成本</x:v>
      </x:c>
      <x:c r="J9" s="9" t="str">
        <x:v>待开发</x:v>
      </x:c>
    </x:row>
    <x:row r="10" ht="48" customHeight="1">
      <x:c r="A10" s="10" t="str">
        <x:v>C_DUST</x:v>
      </x:c>
      <x:c r="B10" s="10" t="str">
        <x:v>星屑</x:v>
      </x:c>
      <x:c r="C10" s="10" t="str">
        <x:v>珍稀兑换货币</x:v>
      </x:c>
      <x:c r="D10" s="10" t="str">
        <x:v>周委托5、珍藏池每抽2、重复外观10/20/40</x:v>
      </x:c>
      <x:c r="E10" s="10" t="str">
        <x:v>指定气泡框、头像框、脚印、入场、残影</x:v>
      </x:c>
      <x:c r="F10" s="10" t="str">
        <x:v>不兑星晶／金币，不进补给池</x:v>
      </x:c>
      <x:c r="G10" s="10" t="str">
        <x:v>不可交易</x:v>
      </x:c>
      <x:c r="H10" s="10" t="str">
        <x:v>无过期</x:v>
      </x:c>
      <x:c r="I10" s="10" t="str">
        <x:v>可指定大奖；不出货也积累；荣誉单独获得</x:v>
      </x:c>
      <x:c r="J10" s="10" t="str">
        <x:v>待开发</x:v>
      </x:c>
    </x:row>
    <x:row r="11" ht="48" customHeight="1">
      <x:c r="A11" s="9" t="str">
        <x:v>V_SUPPLY</x:v>
      </x:c>
      <x:c r="B11" s="9" t="str">
        <x:v>补给券</x:v>
      </x:c>
      <x:c r="C11" s="9" t="str">
        <x:v>抽取凭证</x:v>
      </x:c>
      <x:c r="D11" s="9" t="str">
        <x:v>教程3、周委托2、免费赛季轨</x:v>
      </x:c>
      <x:c r="E11" s="9" t="str">
        <x:v>仅免费补给池</x:v>
      </x:c>
      <x:c r="F11" s="9" t="str">
        <x:v>不可兑换星晶／现金</x:v>
      </x:c>
      <x:c r="G11" s="9" t="str">
        <x:v>不可交易</x:v>
      </x:c>
      <x:c r="H11" s="9" t="str">
        <x:v>无过期</x:v>
      </x:c>
      <x:c r="I11" s="9" t="str">
        <x:v>不是第四种通用币</x:v>
      </x:c>
      <x:c r="J11" s="9" t="str">
        <x:v>待开发</x:v>
      </x:c>
    </x:row>
    <x:row r="12" ht="48" customHeight="1">
      <x:c r="A12" s="10" t="str">
        <x:v>V_STYLE</x:v>
      </x:c>
      <x:c r="B12" s="10" t="str">
        <x:v>珍藏券</x:v>
      </x:c>
      <x:c r="C12" s="10" t="str">
        <x:v>抽取凭证</x:v>
      </x:c>
      <x:c r="D12" s="10" t="str">
        <x:v>新手10、周委托1、免费赛季轨</x:v>
      </x:c>
      <x:c r="E12" s="10" t="str">
        <x:v>常驻珍藏池；活动券明确池ID</x:v>
      </x:c>
      <x:c r="F12" s="10" t="str">
        <x:v>不抵动作生成</x:v>
      </x:c>
      <x:c r="G12" s="10" t="str">
        <x:v>不可交易</x:v>
      </x:c>
      <x:c r="H12" s="10" t="str">
        <x:v>常驻券无过期</x:v>
      </x:c>
      <x:c r="I12" s="10" t="str">
        <x:v>先用指定池券，再赠送星晶，再购买星晶</x:v>
      </x:c>
      <x:c r="J12" s="10" t="str">
        <x:v>待开发</x:v>
      </x:c>
    </x:row>
    <x:row r="13" ht="48" customHeight="1">
      <x:c r="A13" s="9" t="str">
        <x:v>P_TRAVEL</x:v>
      </x:c>
      <x:c r="B13" s="9" t="str">
        <x:v>地区见闻</x:v>
      </x:c>
      <x:c r="C13" s="9" t="str">
        <x:v>不可消费进度</x:v>
      </x:c>
      <x:c r="D13" s="9" t="str">
        <x:v>普通旅行每次1次见闻</x:v>
      </x:c>
      <x:c r="E13" s="9" t="str">
        <x:v>3/6/12次里程碑</x:v>
      </x:c>
      <x:c r="F13" s="9" t="str">
        <x:v>加速完成真实旅行可更快累积；不直接买见闻</x:v>
      </x:c>
      <x:c r="G13" s="9" t="str">
        <x:v>账号共享</x:v>
      </x:c>
      <x:c r="H13" s="9" t="str">
        <x:v>永久</x:v>
      </x:c>
      <x:c r="I13" s="9" t="str">
        <x:v>不发24种地区代币</x:v>
      </x:c>
      <x:c r="J13" s="9" t="str">
        <x:v>待开发</x:v>
      </x:c>
    </x:row>
    <x:row r="14" ht="48" customHeight="1">
      <x:c r="A14" s="10" t="str">
        <x:v>P_HONOR</x:v>
      </x:c>
      <x:c r="B14" s="10" t="str">
        <x:v>荣誉记录</x:v>
      </x:c>
      <x:c r="C14" s="10" t="str">
        <x:v>不可消费成就</x:v>
      </x:c>
      <x:c r="D14" s="10" t="str">
        <x:v>繁育、旅行、有效互助</x:v>
      </x:c>
      <x:c r="E14" s="10" t="str">
        <x:v>达成条件发永久外观</x:v>
      </x:c>
      <x:c r="F14" s="10" t="str">
        <x:v>付费可加快部分目标；有效日/独立谱系仍须完成</x:v>
      </x:c>
      <x:c r="G14" s="10" t="str">
        <x:v>账号共享</x:v>
      </x:c>
      <x:c r="H14" s="10" t="str">
        <x:v>永久</x:v>
      </x:c>
      <x:c r="I14" s="10" t="str">
        <x:v>体现投入与技巧</x:v>
      </x:c>
      <x:c r="J14" s="10" t="str">
        <x:v>待开发</x:v>
      </x:c>
    </x:row>
    <x:row r="15" ht="48" customHeight="1">
      <x:c r="A15" s="9" t="str">
        <x:v>TEST_TOKEN</x:v>
      </x:c>
      <x:c r="B15" s="9" t="str">
        <x:v>现有测试代币</x:v>
      </x:c>
      <x:c r="C15" s="9" t="str">
        <x:v>测试资产</x:v>
      </x:c>
      <x:c r="D15" s="9" t="str">
        <x:v>每日模拟充值300</x:v>
      </x:c>
      <x:c r="E15" s="9" t="str">
        <x:v>仅当前试玩抽取</x:v>
      </x:c>
      <x:c r="F15" s="9" t="str">
        <x:v>正式发行时不转购买星晶</x:v>
      </x:c>
      <x:c r="G15" s="9" t="str">
        <x:v>不可交易</x:v>
      </x:c>
      <x:c r="H15" s="9" t="str">
        <x:v>测试结束归档</x:v>
      </x:c>
      <x:c r="I15" s="9" t="str">
        <x:v>保留快照；真实付款记录单独迁移</x:v>
      </x:c>
      <x:c r="J15" s="9" t="str">
        <x:v>已实现测试功能</x:v>
      </x:c>
    </x:row>
  </x:sheetData>
  <x:pageMargins left="0.7" right="0.7" top="0.75" bottom="0.75" header="0.3" footer="0.3"/>
  <x:tableParts count="1">
    <x:tablePart xmlns:r="http://schemas.openxmlformats.org/officeDocument/2006/relationships" r:id="R3b5e45e7a14d492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20" hidden="0" customWidth="1"/>
    <x:col min="3" max="3" width="46" hidden="0" customWidth="1"/>
    <x:col min="4" max="4" width="46" hidden="0" customWidth="1"/>
    <x:col min="5" max="5" width="28" hidden="0" customWidth="1"/>
    <x:col min="6" max="6" width="14" hidden="0" customWidth="1"/>
    <x:col min="7" max="7" width="47" hidden="0" customWidth="1"/>
    <x:col min="8" max="8" width="45" hidden="0" customWidth="1"/>
    <x:col min="9" max="9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新手与成长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8" t="str">
        <x:v>任务ID</x:v>
      </x:c>
      <x:c r="B6" s="8" t="str">
        <x:v>目标时段</x:v>
      </x:c>
      <x:c r="C6" s="8" t="str">
        <x:v>完成条件</x:v>
      </x:c>
      <x:c r="D6" s="8" t="str">
        <x:v>奖励</x:v>
      </x:c>
      <x:c r="E6" s="8" t="str">
        <x:v>奖励ID</x:v>
      </x:c>
      <x:c r="F6" s="8" t="str">
        <x:v>数量</x:v>
      </x:c>
      <x:c r="G6" s="8" t="str">
        <x:v>节奏与规则</x:v>
      </x:c>
      <x:c r="H6" s="8" t="str">
        <x:v>防卡关</x:v>
      </x:c>
      <x:c r="I6" s="8" t="str">
        <x:v>现状</x:v>
      </x:c>
    </x:row>
    <x:row r="7" ht="48" customHeight="1">
      <x:c r="A7" s="9" t="str">
        <x:v>N01</x:v>
      </x:c>
      <x:c r="B7" s="9" t="str">
        <x:v>首次0—1分钟</x:v>
      </x:c>
      <x:c r="C7" s="9" t="str">
        <x:v>选择角色，看到外观预览</x:v>
      </x:c>
      <x:c r="D7" s="9" t="str">
        <x:v>任选一个基础头像框</x:v>
      </x:c>
      <x:c r="E7" s="9" t="str">
        <x:v>COS_INTRO_FRAME</x:v>
      </x:c>
      <x:c r="F7" s="9" t="str">
        <x:v>1</x:v>
      </x:c>
      <x:c r="G7" s="9" t="str">
        <x:v>同一个框可给所有角色用</x:v>
      </x:c>
      <x:c r="H7" s="9" t="str">
        <x:v>无NPC在线仍可完成</x:v>
      </x:c>
      <x:c r="I7" s="9" t="str">
        <x:v>待开发</x:v>
      </x:c>
    </x:row>
    <x:row r="8" ht="48" customHeight="1">
      <x:c r="A8" s="10" t="str">
        <x:v>N02</x:v>
      </x:c>
      <x:c r="B8" s="10" t="str">
        <x:v>首次1—3分钟</x:v>
      </x:c>
      <x:c r="C8" s="10" t="str">
        <x:v>邀请自己的角色或进入陪伴房间</x:v>
      </x:c>
      <x:c r="D8" s="10" t="str">
        <x:v>首次合照记录</x:v>
      </x:c>
      <x:c r="E8" s="10" t="str">
        <x:v>NONE</x:v>
      </x:c>
      <x:c r="F8" s="10" t="str">
        <x:v>0</x:v>
      </x:c>
      <x:c r="G8" s="10" t="str">
        <x:v>NPC明确标注；不冒充真人</x:v>
      </x:c>
      <x:c r="H8" s="10" t="str">
        <x:v>本地自己角色可代替</x:v>
      </x:c>
      <x:c r="I8" s="10" t="str">
        <x:v>已有入口需重做</x:v>
      </x:c>
    </x:row>
    <x:row r="9" ht="48" customHeight="1">
      <x:c r="A9" s="9" t="str">
        <x:v>N03</x:v>
      </x:c>
      <x:c r="B9" s="9" t="str">
        <x:v>首次3—4分钟</x:v>
      </x:c>
      <x:c r="C9" s="9" t="str">
        <x:v>领取并种下金色教学种子</x:v>
      </x:c>
      <x:c r="D9" s="9" t="str">
        <x:v>金色亲本＋种子＋专用肥＋普通油</x:v>
      </x:c>
      <x:c r="E9" s="9" t="str">
        <x:v>TUTORIAL_GOLD</x:v>
      </x:c>
      <x:c r="F9" s="9" t="str">
        <x:v>1套</x:v>
      </x:c>
      <x:c r="G9" s="9" t="str">
        <x:v>保留金色门槛，仅教程5秒成熟</x:v>
      </x:c>
      <x:c r="H9" s="9" t="str">
        <x:v>礼物领取幂等</x:v>
      </x:c>
      <x:c r="I9" s="9" t="str">
        <x:v>已实现需整合</x:v>
      </x:c>
    </x:row>
    <x:row r="10" ht="48" customHeight="1">
      <x:c r="A10" s="10" t="str">
        <x:v>N04</x:v>
      </x:c>
      <x:c r="B10" s="10" t="str">
        <x:v>首次4—6分钟</x:v>
      </x:c>
      <x:c r="C10" s="10" t="str">
        <x:v>完成一次正式规则繁育</x:v>
      </x:c>
      <x:c r="D10" s="10" t="str">
        <x:v>谱系首条记录</x:v>
      </x:c>
      <x:c r="E10" s="10" t="str">
        <x:v>NONE</x:v>
      </x:c>
      <x:c r="F10" s="10" t="str">
        <x:v>0</x:v>
      </x:c>
      <x:c r="G10" s="10" t="str">
        <x:v>随机继承，不指定保留因子</x:v>
      </x:c>
      <x:c r="H10" s="10" t="str">
        <x:v>失败也完成教学，不强行金色子代</x:v>
      </x:c>
      <x:c r="I10" s="10" t="str">
        <x:v>已实现需整合</x:v>
      </x:c>
    </x:row>
    <x:row r="11" ht="48" customHeight="1">
      <x:c r="A11" s="9" t="str">
        <x:v>N05</x:v>
      </x:c>
      <x:c r="B11" s="9" t="str">
        <x:v>首次6—8分钟</x:v>
      </x:c>
      <x:c r="C11" s="9" t="str">
        <x:v>在房间摆放一件基础家具</x:v>
      </x:c>
      <x:c r="D11" s="9" t="str">
        <x:v>免费补给券</x:v>
      </x:c>
      <x:c r="E11" s="9" t="str">
        <x:v>V_SUPPLY</x:v>
      </x:c>
      <x:c r="F11" s="9" t="str">
        <x:v>3</x:v>
      </x:c>
      <x:c r="G11" s="9" t="str">
        <x:v>不拿付费池强教成长</x:v>
      </x:c>
      <x:c r="H11" s="9" t="str">
        <x:v>基础套装永远免费可摆</x:v>
      </x:c>
      <x:c r="I11" s="9" t="str">
        <x:v>待开发</x:v>
      </x:c>
    </x:row>
    <x:row r="12" ht="48" customHeight="1">
      <x:c r="A12" s="10" t="str">
        <x:v>N06</x:v>
      </x:c>
      <x:c r="B12" s="10" t="str">
        <x:v>首次8—10分钟</x:v>
      </x:c>
      <x:c r="C12" s="10" t="str">
        <x:v>使用补给券并查看背包</x:v>
      </x:c>
      <x:c r="D12" s="10" t="str">
        <x:v>常驻珍藏券</x:v>
      </x:c>
      <x:c r="E12" s="10" t="str">
        <x:v>V_STYLE</x:v>
      </x:c>
      <x:c r="F12" s="10" t="str">
        <x:v>5</x:v>
      </x:c>
      <x:c r="G12" s="10" t="str">
        <x:v>正常奖池与正常保底，无暗改</x:v>
      </x:c>
      <x:c r="H12" s="10" t="str">
        <x:v>可跳过演出</x:v>
      </x:c>
      <x:c r="I12" s="10" t="str">
        <x:v>待开发</x:v>
      </x:c>
    </x:row>
    <x:row r="13" ht="48" customHeight="1">
      <x:c r="A13" s="9" t="str">
        <x:v>N07</x:v>
      </x:c>
      <x:c r="B13" s="9" t="str">
        <x:v>首次10—12分钟</x:v>
      </x:c>
      <x:c r="C13" s="9" t="str">
        <x:v>选一项长期目标并装配外观</x:v>
      </x:c>
      <x:c r="D13" s="9" t="str">
        <x:v>赠送星晶</x:v>
      </x:c>
      <x:c r="E13" s="9" t="str">
        <x:v>C_STAR_GIFT</x:v>
      </x:c>
      <x:c r="F13" s="9" t="str">
        <x:v>120</x:v>
      </x:c>
      <x:c r="G13" s="9" t="str">
        <x:v>先预览5类外观，默认关闭强特效</x:v>
      </x:c>
      <x:c r="H13" s="9" t="str">
        <x:v>不要求抽中高品质</x:v>
      </x:c>
      <x:c r="I13" s="9" t="str">
        <x:v>待开发</x:v>
      </x:c>
    </x:row>
    <x:row r="14" ht="48" customHeight="1">
      <x:c r="A14" s="10" t="str">
        <x:v>N08</x:v>
      </x:c>
      <x:c r="B14" s="10" t="str">
        <x:v>首次12—15分钟</x:v>
      </x:c>
      <x:c r="C14" s="10" t="str">
        <x:v>选择同行角色和短途目的地</x:v>
      </x:c>
      <x:c r="D14" s="10" t="str">
        <x:v>一包地区基础种子</x:v>
      </x:c>
      <x:c r="E14" s="10" t="str">
        <x:v>TRAVEL_INTRO</x:v>
      </x:c>
      <x:c r="F14" s="10" t="str">
        <x:v>1</x:v>
      </x:c>
      <x:c r="G14" s="10" t="str">
        <x:v>60币10分钟，只一次，不计地区里程碑</x:v>
      </x:c>
      <x:c r="H14" s="10" t="str">
        <x:v>费用已包含初始600周转金</x:v>
      </x:c>
      <x:c r="I14" s="10" t="str">
        <x:v>已有短途需适配</x:v>
      </x:c>
    </x:row>
    <x:row r="15" ht="48" customHeight="1">
      <x:c r="A15" s="9" t="str">
        <x:v>D02</x:v>
      </x:c>
      <x:c r="B15" s="9" t="str">
        <x:v>D2</x:v>
      </x:c>
      <x:c r="C15" s="9" t="str">
        <x:v>完成一次有效互助或单人照料</x:v>
      </x:c>
      <x:c r="D15" s="9" t="str">
        <x:v>普通油</x:v>
      </x:c>
      <x:c r="E15" s="9" t="str">
        <x:v>OIL_NORMAL</x:v>
      </x:c>
      <x:c r="F15" s="9" t="str">
        <x:v>1</x:v>
      </x:c>
      <x:c r="G15" s="9" t="str">
        <x:v>互助入口提前，单人路线同额</x:v>
      </x:c>
      <x:c r="H15" s="9" t="str">
        <x:v>不要求添加真人好友</x:v>
      </x:c>
      <x:c r="I15" s="9" t="str">
        <x:v>待开发</x:v>
      </x:c>
    </x:row>
    <x:row r="16" ht="48" customHeight="1">
      <x:c r="A16" s="10" t="str">
        <x:v>D03</x:v>
      </x:c>
      <x:c r="B16" s="10" t="str">
        <x:v>D3</x:v>
      </x:c>
      <x:c r="C16" s="10" t="str">
        <x:v>查看房友稀有天气并加入或看演示</x:v>
      </x:c>
      <x:c r="D16" s="10" t="str">
        <x:v>旅行解锁</x:v>
      </x:c>
      <x:c r="E16" s="10" t="str">
        <x:v>TRAVEL_UNLOCK</x:v>
      </x:c>
      <x:c r="F16" s="10" t="str">
        <x:v>1</x:v>
      </x:c>
      <x:c r="G16" s="10" t="str">
        <x:v>等待2分钟后只影响未来节点</x:v>
      </x:c>
      <x:c r="H16" s="10" t="str">
        <x:v>没有稀有天气可用只读演示</x:v>
      </x:c>
      <x:c r="I16" s="10" t="str">
        <x:v>待开发</x:v>
      </x:c>
    </x:row>
    <x:row r="17" ht="48" customHeight="1">
      <x:c r="A17" s="9" t="str">
        <x:v>D05</x:v>
      </x:c>
      <x:c r="B17" s="9" t="str">
        <x:v>D5</x:v>
      </x:c>
      <x:c r="C17" s="9" t="str">
        <x:v>累计收获12株，完成3种物种发现</x:v>
      </x:c>
      <x:c r="D17" s="9" t="str">
        <x:v>金币家具购买资格</x:v>
      </x:c>
      <x:c r="E17" s="9" t="str">
        <x:v>NONE</x:v>
      </x:c>
      <x:c r="F17" s="9" t="str">
        <x:v>0</x:v>
      </x:c>
      <x:c r="G17" s="9" t="str">
        <x:v>不增加生产地块或强制等级</x:v>
      </x:c>
      <x:c r="H17" s="9" t="str">
        <x:v>已完成记录回溯</x:v>
      </x:c>
      <x:c r="I17" s="9" t="str">
        <x:v>待开发</x:v>
      </x:c>
    </x:row>
    <x:row r="18" ht="48" customHeight="1">
      <x:c r="A18" s="10" t="str">
        <x:v>D07</x:v>
      </x:c>
      <x:c r="B18" s="10" t="str">
        <x:v>D7</x:v>
      </x:c>
      <x:c r="C18" s="10" t="str">
        <x:v>完成首周章节；不限连续签到</x:v>
      </x:c>
      <x:c r="D18" s="10" t="str">
        <x:v>珍藏券5＋星屑10</x:v>
      </x:c>
      <x:c r="E18" s="10" t="str">
        <x:v>V_STYLE/C_DUST</x:v>
      </x:c>
      <x:c r="F18" s="10" t="str">
        <x:v>5/10</x:v>
      </x:c>
      <x:c r="G18" s="10" t="str">
        <x:v>与参数新手10券总量对应</x:v>
      </x:c>
      <x:c r="H18" s="10" t="str">
        <x:v>可补领，切角色不重复</x:v>
      </x:c>
      <x:c r="I18" s="10" t="str">
        <x:v>待开发</x:v>
      </x:c>
    </x:row>
    <x:row r="19" ht="48" customHeight="1">
      <x:c r="A19" s="9" t="str">
        <x:v>D14</x:v>
      </x:c>
      <x:c r="B19" s="9" t="str">
        <x:v>D14</x:v>
      </x:c>
      <x:c r="C19" s="9" t="str">
        <x:v>完成4次普通旅行并使用外观槽</x:v>
      </x:c>
      <x:c r="D19" s="9" t="str">
        <x:v>一件免费气泡框</x:v>
      </x:c>
      <x:c r="E19" s="9" t="str">
        <x:v>COS_01_2</x:v>
      </x:c>
      <x:c r="F19" s="9" t="str">
        <x:v>1</x:v>
      </x:c>
      <x:c r="G19" s="9" t="str">
        <x:v>无需付费或抽中特定物品</x:v>
      </x:c>
      <x:c r="H19" s="9" t="str">
        <x:v>见闻累计保留</x:v>
      </x:c>
      <x:c r="I19" s="9" t="str">
        <x:v>待开发</x:v>
      </x:c>
    </x:row>
    <x:row r="20" ht="48" customHeight="1">
      <x:c r="A20" s="10" t="str">
        <x:v>D30</x:v>
      </x:c>
      <x:c r="B20" s="10" t="str">
        <x:v>D30目标</x:v>
      </x:c>
      <x:c r="C20" s="10" t="str">
        <x:v>两套房间风格、2地区3次见闻</x:v>
      </x:c>
      <x:c r="D20" s="10" t="str">
        <x:v>自选一个见闻框</x:v>
      </x:c>
      <x:c r="E20" s="10" t="str">
        <x:v>TRAVEL_FRAME</x:v>
      </x:c>
      <x:c r="F20" s="10" t="str">
        <x:v>1</x:v>
      </x:c>
      <x:c r="G20" s="10" t="str">
        <x:v>目标日期不是限时截止</x:v>
      </x:c>
      <x:c r="H20" s="10" t="str">
        <x:v>预算不足不强制买家具</x:v>
      </x:c>
      <x:c r="I20" s="10" t="str">
        <x:v>待开发</x:v>
      </x:c>
    </x:row>
    <x:row r="21" ht="48" customHeight="1">
      <x:c r="A21" s="9" t="str">
        <x:v>D60</x:v>
      </x:c>
      <x:c r="B21" s="9" t="str">
        <x:v>D60目标</x:v>
      </x:c>
      <x:c r="C21" s="9" t="str">
        <x:v>完成30次繁育和3条金色谱系记录</x:v>
      </x:c>
      <x:c r="D21" s="9" t="str">
        <x:v>繁育荣誉入场</x:v>
      </x:c>
      <x:c r="E21" s="9" t="str">
        <x:v>HONOR_04</x:v>
      </x:c>
      <x:c r="F21" s="9" t="str">
        <x:v>1</x:v>
      </x:c>
      <x:c r="G21" s="9" t="str">
        <x:v>排除重复教程样本计数</x:v>
      </x:c>
      <x:c r="H21" s="9" t="str">
        <x:v>先看未来目标不锁基础功能</x:v>
      </x:c>
      <x:c r="I21" s="9" t="str">
        <x:v>待开发</x:v>
      </x:c>
    </x:row>
    <x:row r="22" ht="48" customHeight="1">
      <x:c r="A22" s="10" t="str">
        <x:v>D90</x:v>
      </x:c>
      <x:c r="B22" s="10" t="str">
        <x:v>D90目标</x:v>
      </x:c>
      <x:c r="C22" s="10" t="str">
        <x:v>一条12次地区线或多地区见闻路线</x:v>
      </x:c>
      <x:c r="D22" s="10" t="str">
        <x:v>旅行荣誉残影／入场其一</x:v>
      </x:c>
      <x:c r="E22" s="10" t="str">
        <x:v>HONOR_08</x:v>
      </x:c>
      <x:c r="F22" s="10" t="str">
        <x:v>1</x:v>
      </x:c>
      <x:c r="G22" s="10" t="str">
        <x:v>成就永久开放；失败可追踪</x:v>
      </x:c>
      <x:c r="H22" s="10" t="str">
        <x:v>不同目标允许按喜好切换</x:v>
      </x:c>
      <x:c r="I22" s="10" t="str">
        <x:v>待开发</x:v>
      </x:c>
    </x:row>
    <x:row r="23" ht="48" customHeight="1">
      <x:c r="A23" s="9" t="str">
        <x:v>WEEK</x:v>
      </x:c>
      <x:c r="B23" s="9" t="str">
        <x:v>每周</x:v>
      </x:c>
      <x:c r="C23" s="9" t="str">
        <x:v>完成4/6项周目标即可领奖</x:v>
      </x:c>
      <x:c r="D23" s="9" t="str">
        <x:v>140金币＋2补给券＋1珍藏券＋60赠晶＋5星屑</x:v>
      </x:c>
      <x:c r="E23" s="9" t="str">
        <x:v>WEEK_REWARD</x:v>
      </x:c>
      <x:c r="F23" s="9" t="str">
        <x:v>1套</x:v>
      </x:c>
      <x:c r="G23" s="9" t="str">
        <x:v>6项含种植/繁育/旅行/布置/互助/合影</x:v>
      </x:c>
      <x:c r="H23" s="9" t="str">
        <x:v>任选四项，避免强迫聊天刷量</x:v>
      </x:c>
      <x:c r="I23" s="9" t="str">
        <x:v>待开发</x:v>
      </x:c>
    </x:row>
    <x:row r="24" ht="48" customHeight="1">
      <x:c r="A24" s="10" t="str">
        <x:v>SEASON</x:v>
      </x:c>
      <x:c r="B24" s="10" t="str">
        <x:v>每30日</x:v>
      </x:c>
      <x:c r="C24" s="10" t="str">
        <x:v>收集进度达到免费轨20级目标</x:v>
      </x:c>
      <x:c r="D24" s="10" t="str">
        <x:v>60赠晶及本期免费外观</x:v>
      </x:c>
      <x:c r="E24" s="10" t="str">
        <x:v>SEASON_FREE</x:v>
      </x:c>
      <x:c r="F24" s="10" t="str">
        <x:v>1套</x:v>
      </x:c>
      <x:c r="G24" s="10" t="str">
        <x:v>这里只是活动进度，不是角色成长等级</x:v>
      </x:c>
      <x:c r="H24" s="10" t="str">
        <x:v>允许追赶，不重置角色养成</x:v>
      </x:c>
      <x:c r="I24" s="10" t="str">
        <x:v>待开发</x:v>
      </x:c>
    </x:row>
  </x:sheetData>
  <x:pageMargins left="0.7" right="0.7" top="0.75" bottom="0.75" header="0.3" footer="0.3"/>
  <x:tableParts count="1">
    <x:tablePart xmlns:r="http://schemas.openxmlformats.org/officeDocument/2006/relationships" r:id="Ra3e1874d1cf0446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6" hidden="0" customWidth="1"/>
    <x:col min="4" max="4" width="26" hidden="0" customWidth="1"/>
    <x:col min="5" max="5" width="16" hidden="0" customWidth="1"/>
    <x:col min="6" max="6" width="19" hidden="0" customWidth="1"/>
    <x:col min="7" max="7" width="16" hidden="0" customWidth="1"/>
    <x:col min="8" max="8" width="17" hidden="0" customWidth="1"/>
    <x:col min="9" max="9" width="19" hidden="0" customWidth="1"/>
    <x:col min="10" max="10" width="21" hidden="0" customWidth="1"/>
    <x:col min="11" max="11" width="19" hidden="0" customWidth="1"/>
    <x:col min="12" max="12" width="18" hidden="0" customWidth="1"/>
    <x:col min="13" max="13" width="22" hidden="0" customWidth="1"/>
    <x:col min="14" max="14" width="58" hidden="0" customWidth="1"/>
    <x:col min="15" max="15" width="33" hidden="0" customWidth="1"/>
    <x:col min="16" max="16" width="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旅行地区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4" customHeight="1">
      <x:c r="A6" s="8" t="str">
        <x:v>地区ID</x:v>
      </x:c>
      <x:c r="B6" s="8" t="str">
        <x:v>目的地</x:v>
      </x:c>
      <x:c r="C6" s="8" t="str">
        <x:v>大区</x:v>
      </x:c>
      <x:c r="D6" s="8" t="str">
        <x:v>美术主题</x:v>
      </x:c>
      <x:c r="E6" s="8" t="str">
        <x:v>投放批次</x:v>
      </x:c>
      <x:c r="F6" s="8" t="str">
        <x:v>解锁累计旅行</x:v>
      </x:c>
      <x:c r="G6" s="8" t="str">
        <x:v>金币费用</x:v>
      </x:c>
      <x:c r="H6" s="8" t="str">
        <x:v>时长分钟</x:v>
      </x:c>
      <x:c r="I6" s="8" t="str">
        <x:v>家具套系ID</x:v>
      </x:c>
      <x:c r="J6" s="8" t="str">
        <x:v>首访种子ID</x:v>
      </x:c>
      <x:c r="K6" s="8" t="str">
        <x:v>花卉物种</x:v>
      </x:c>
      <x:c r="L6" s="8" t="str">
        <x:v>果实物种</x:v>
      </x:c>
      <x:c r="M6" s="8" t="str">
        <x:v>收藏差异</x:v>
      </x:c>
      <x:c r="N6" s="8" t="str">
        <x:v>里程碑</x:v>
      </x:c>
      <x:c r="O6" s="8" t="str">
        <x:v>派遣规则</x:v>
      </x:c>
      <x:c r="P6" s="8" t="str">
        <x:v>实现状态</x:v>
      </x:c>
    </x:row>
    <x:row r="7" ht="48" customHeight="1">
      <x:c r="A7" s="9" t="str">
        <x:v>REG_01</x:v>
      </x:c>
      <x:c r="B7" s="9" t="str">
        <x:v>苏州水巷</x:v>
      </x:c>
      <x:c r="C7" s="9" t="str">
        <x:v>东亚</x:v>
      </x:c>
      <x:c r="D7" s="9" t="str">
        <x:v>水纹与灯影</x:v>
      </x:c>
      <x:c r="E7" s="9" t="str">
        <x:v>首发</x:v>
      </x:c>
      <x:c r="F7" s="9" t="n">
        <x:v>0</x:v>
      </x:c>
      <x:c r="G7" s="9" t="n">
        <x:v>160</x:v>
      </x:c>
      <x:c r="H7" s="9" t="n">
        <x:v>120</x:v>
      </x:c>
      <x:c r="I7" s="9" t="str">
        <x:v>SET_01</x:v>
      </x:c>
      <x:c r="J7" s="9" t="str">
        <x:v>PL_01_A</x:v>
      </x:c>
      <x:c r="K7" s="9" t="str">
        <x:v>睡莲</x:v>
      </x:c>
      <x:c r="L7" s="9" t="str">
        <x:v>青梅</x:v>
      </x:c>
      <x:c r="M7" s="9" t="str">
        <x:v>晴雨水纹</x:v>
      </x:c>
      <x:c r="N7" s="9" t="str">
        <x:v>1次种子A/3次种子B/6次地区家具/12次荣誉见闻</x:v>
      </x:c>
      <x:c r="O7" s="9" t="str">
        <x:v>1—2角色；同队同费用奖励</x:v>
      </x:c>
      <x:c r="P7" s="9" t="str">
        <x:v>测试京都/巴黎/海岛仅迁移次数，其余待制作</x:v>
      </x:c>
    </x:row>
    <x:row r="8" ht="48" customHeight="1">
      <x:c r="A8" s="10" t="str">
        <x:v>REG_02</x:v>
      </x:c>
      <x:c r="B8" s="10" t="str">
        <x:v>杭州茶山</x:v>
      </x:c>
      <x:c r="C8" s="10" t="str">
        <x:v>东亚</x:v>
      </x:c>
      <x:c r="D8" s="10" t="str">
        <x:v>茶雾与竹影</x:v>
      </x:c>
      <x:c r="E8" s="10" t="str">
        <x:v>首发</x:v>
      </x:c>
      <x:c r="F8" s="10" t="n">
        <x:v>1</x:v>
      </x:c>
      <x:c r="G8" s="10" t="n">
        <x:v>180</x:v>
      </x:c>
      <x:c r="H8" s="10" t="n">
        <x:v>180</x:v>
      </x:c>
      <x:c r="I8" s="10" t="str">
        <x:v>SET_02</x:v>
      </x:c>
      <x:c r="J8" s="10" t="str">
        <x:v>PL_02_A</x:v>
      </x:c>
      <x:c r="K8" s="10" t="str">
        <x:v>茶花</x:v>
      </x:c>
      <x:c r="L8" s="10" t="str">
        <x:v>枇杷</x:v>
      </x:c>
      <x:c r="M8" s="10" t="str">
        <x:v>微风茶雾</x:v>
      </x:c>
      <x:c r="N8" s="10" t="str">
        <x:v>1次种子A/3次种子B/6次地区家具/12次荣誉见闻</x:v>
      </x:c>
      <x:c r="O8" s="10" t="str">
        <x:v>1—2角色；同队同费用奖励</x:v>
      </x:c>
      <x:c r="P8" s="10" t="str">
        <x:v>测试京都/巴黎/海岛仅迁移次数，其余待制作</x:v>
      </x:c>
    </x:row>
    <x:row r="9" ht="48" customHeight="1">
      <x:c r="A9" s="9" t="str">
        <x:v>REG_03</x:v>
      </x:c>
      <x:c r="B9" s="9" t="str">
        <x:v>京都月庭</x:v>
      </x:c>
      <x:c r="C9" s="9" t="str">
        <x:v>东亚</x:v>
      </x:c>
      <x:c r="D9" s="9" t="str">
        <x:v>月光与铃兰</x:v>
      </x:c>
      <x:c r="E9" s="9" t="str">
        <x:v>首发</x:v>
      </x:c>
      <x:c r="F9" s="9" t="n">
        <x:v>2</x:v>
      </x:c>
      <x:c r="G9" s="9" t="n">
        <x:v>220</x:v>
      </x:c>
      <x:c r="H9" s="9" t="n">
        <x:v>240</x:v>
      </x:c>
      <x:c r="I9" s="9" t="str">
        <x:v>SET_03</x:v>
      </x:c>
      <x:c r="J9" s="9" t="str">
        <x:v>PL_03_A</x:v>
      </x:c>
      <x:c r="K9" s="9" t="str">
        <x:v>铃兰</x:v>
      </x:c>
      <x:c r="L9" s="9" t="str">
        <x:v>柚子</x:v>
      </x:c>
      <x:c r="M9" s="9" t="str">
        <x:v>夜色月光</x:v>
      </x:c>
      <x:c r="N9" s="9" t="str">
        <x:v>1次种子A/3次种子B/6次地区家具/12次荣誉见闻</x:v>
      </x:c>
      <x:c r="O9" s="9" t="str">
        <x:v>1—2角色；同队同费用奖励</x:v>
      </x:c>
      <x:c r="P9" s="9" t="str">
        <x:v>测试京都/巴黎/海岛仅迁移次数，其余待制作</x:v>
      </x:c>
    </x:row>
    <x:row r="10" ht="48" customHeight="1">
      <x:c r="A10" s="10" t="str">
        <x:v>REG_04</x:v>
      </x:c>
      <x:c r="B10" s="10" t="str">
        <x:v>北海道雪原</x:v>
      </x:c>
      <x:c r="C10" s="10" t="str">
        <x:v>东亚</x:v>
      </x:c>
      <x:c r="D10" s="10" t="str">
        <x:v>霜花与木屋</x:v>
      </x:c>
      <x:c r="E10" s="10" t="str">
        <x:v>首发</x:v>
      </x:c>
      <x:c r="F10" s="10" t="n">
        <x:v>3</x:v>
      </x:c>
      <x:c r="G10" s="10" t="n">
        <x:v>240</x:v>
      </x:c>
      <x:c r="H10" s="10" t="n">
        <x:v>360</x:v>
      </x:c>
      <x:c r="I10" s="10" t="str">
        <x:v>SET_04</x:v>
      </x:c>
      <x:c r="J10" s="10" t="str">
        <x:v>PL_04_A</x:v>
      </x:c>
      <x:c r="K10" s="10" t="str">
        <x:v>雪片莲</x:v>
      </x:c>
      <x:c r="L10" s="10" t="str">
        <x:v>蓝靛果</x:v>
      </x:c>
      <x:c r="M10" s="10" t="str">
        <x:v>雪花结晶</x:v>
      </x:c>
      <x:c r="N10" s="10" t="str">
        <x:v>1次种子A/3次种子B/6次地区家具/12次荣誉见闻</x:v>
      </x:c>
      <x:c r="O10" s="10" t="str">
        <x:v>1—2角色；同队同费用奖励</x:v>
      </x:c>
      <x:c r="P10" s="10" t="str">
        <x:v>测试京都/巴黎/海岛仅迁移次数，其余待制作</x:v>
      </x:c>
    </x:row>
    <x:row r="11" ht="48" customHeight="1">
      <x:c r="A11" s="9" t="str">
        <x:v>REG_05</x:v>
      </x:c>
      <x:c r="B11" s="9" t="str">
        <x:v>巴黎花街</x:v>
      </x:c>
      <x:c r="C11" s="9" t="str">
        <x:v>欧洲</x:v>
      </x:c>
      <x:c r="D11" s="9" t="str">
        <x:v>花窗与丝绒</x:v>
      </x:c>
      <x:c r="E11" s="9" t="str">
        <x:v>首发</x:v>
      </x:c>
      <x:c r="F11" s="9" t="n">
        <x:v>4</x:v>
      </x:c>
      <x:c r="G11" s="9" t="n">
        <x:v>260</x:v>
      </x:c>
      <x:c r="H11" s="9" t="n">
        <x:v>240</x:v>
      </x:c>
      <x:c r="I11" s="9" t="str">
        <x:v>SET_05</x:v>
      </x:c>
      <x:c r="J11" s="9" t="str">
        <x:v>PL_05_A</x:v>
      </x:c>
      <x:c r="K11" s="9" t="str">
        <x:v>鸢尾</x:v>
      </x:c>
      <x:c r="L11" s="9" t="str">
        <x:v>覆盆子</x:v>
      </x:c>
      <x:c r="M11" s="9" t="str">
        <x:v>晨光花瓣</x:v>
      </x:c>
      <x:c r="N11" s="9" t="str">
        <x:v>1次种子A/3次种子B/6次地区家具/12次荣誉见闻</x:v>
      </x:c>
      <x:c r="O11" s="9" t="str">
        <x:v>1—2角色；同队同费用奖励</x:v>
      </x:c>
      <x:c r="P11" s="9" t="str">
        <x:v>测试京都/巴黎/海岛仅迁移次数，其余待制作</x:v>
      </x:c>
    </x:row>
    <x:row r="12" ht="48" customHeight="1">
      <x:c r="A12" s="10" t="str">
        <x:v>REG_06</x:v>
      </x:c>
      <x:c r="B12" s="10" t="str">
        <x:v>普罗旺斯田野</x:v>
      </x:c>
      <x:c r="C12" s="10" t="str">
        <x:v>欧洲</x:v>
      </x:c>
      <x:c r="D12" s="10" t="str">
        <x:v>紫穗与暖风</x:v>
      </x:c>
      <x:c r="E12" s="10" t="str">
        <x:v>首发</x:v>
      </x:c>
      <x:c r="F12" s="10" t="n">
        <x:v>6</x:v>
      </x:c>
      <x:c r="G12" s="10" t="n">
        <x:v>300</x:v>
      </x:c>
      <x:c r="H12" s="10" t="n">
        <x:v>360</x:v>
      </x:c>
      <x:c r="I12" s="10" t="str">
        <x:v>SET_06</x:v>
      </x:c>
      <x:c r="J12" s="10" t="str">
        <x:v>PL_06_A</x:v>
      </x:c>
      <x:c r="K12" s="10" t="str">
        <x:v>薰衣草</x:v>
      </x:c>
      <x:c r="L12" s="10" t="str">
        <x:v>杏子</x:v>
      </x:c>
      <x:c r="M12" s="10" t="str">
        <x:v>蜜风香气</x:v>
      </x:c>
      <x:c r="N12" s="10" t="str">
        <x:v>1次种子A/3次种子B/6次地区家具/12次荣誉见闻</x:v>
      </x:c>
      <x:c r="O12" s="10" t="str">
        <x:v>1—2角色；同队同费用奖励</x:v>
      </x:c>
      <x:c r="P12" s="10" t="str">
        <x:v>测试京都/巴黎/海岛仅迁移次数，其余待制作</x:v>
      </x:c>
    </x:row>
    <x:row r="13" ht="48" customHeight="1">
      <x:c r="A13" s="9" t="str">
        <x:v>REG_07</x:v>
      </x:c>
      <x:c r="B13" s="9" t="str">
        <x:v>阿姆斯特丹花港</x:v>
      </x:c>
      <x:c r="C13" s="9" t="str">
        <x:v>欧洲</x:v>
      </x:c>
      <x:c r="D13" s="9" t="str">
        <x:v>风车与郁金香</x:v>
      </x:c>
      <x:c r="E13" s="9" t="str">
        <x:v>首发</x:v>
      </x:c>
      <x:c r="F13" s="9" t="n">
        <x:v>8</x:v>
      </x:c>
      <x:c r="G13" s="9" t="n">
        <x:v>320</x:v>
      </x:c>
      <x:c r="H13" s="9" t="n">
        <x:v>360</x:v>
      </x:c>
      <x:c r="I13" s="9" t="str">
        <x:v>SET_07</x:v>
      </x:c>
      <x:c r="J13" s="9" t="str">
        <x:v>PL_07_A</x:v>
      </x:c>
      <x:c r="K13" s="9" t="str">
        <x:v>斑纹郁金香</x:v>
      </x:c>
      <x:c r="L13" s="9" t="str">
        <x:v>红醋栗</x:v>
      </x:c>
      <x:c r="M13" s="9" t="str">
        <x:v>露水彩边</x:v>
      </x:c>
      <x:c r="N13" s="9" t="str">
        <x:v>1次种子A/3次种子B/6次地区家具/12次荣誉见闻</x:v>
      </x:c>
      <x:c r="O13" s="9" t="str">
        <x:v>1—2角色；同队同费用奖励</x:v>
      </x:c>
      <x:c r="P13" s="9" t="str">
        <x:v>测试京都/巴黎/海岛仅迁移次数，其余待制作</x:v>
      </x:c>
    </x:row>
    <x:row r="14" ht="48" customHeight="1">
      <x:c r="A14" s="10" t="str">
        <x:v>REG_08</x:v>
      </x:c>
      <x:c r="B14" s="10" t="str">
        <x:v>瑞士高山谷</x:v>
      </x:c>
      <x:c r="C14" s="10" t="str">
        <x:v>欧洲</x:v>
      </x:c>
      <x:c r="D14" s="10" t="str">
        <x:v>松木与雪绒</x:v>
      </x:c>
      <x:c r="E14" s="10" t="str">
        <x:v>首发</x:v>
      </x:c>
      <x:c r="F14" s="10" t="n">
        <x:v>10</x:v>
      </x:c>
      <x:c r="G14" s="10" t="n">
        <x:v>360</x:v>
      </x:c>
      <x:c r="H14" s="10" t="n">
        <x:v>480</x:v>
      </x:c>
      <x:c r="I14" s="10" t="str">
        <x:v>SET_08</x:v>
      </x:c>
      <x:c r="J14" s="10" t="str">
        <x:v>PL_08_A</x:v>
      </x:c>
      <x:c r="K14" s="10" t="str">
        <x:v>雪绒花</x:v>
      </x:c>
      <x:c r="L14" s="10" t="str">
        <x:v>高山草莓</x:v>
      </x:c>
      <x:c r="M14" s="10" t="str">
        <x:v>冰露棱面</x:v>
      </x:c>
      <x:c r="N14" s="10" t="str">
        <x:v>1次种子A/3次种子B/6次地区家具/12次荣誉见闻</x:v>
      </x:c>
      <x:c r="O14" s="10" t="str">
        <x:v>1—2角色；同队同费用奖励</x:v>
      </x:c>
      <x:c r="P14" s="10" t="str">
        <x:v>测试京都/巴黎/海岛仅迁移次数，其余待制作</x:v>
      </x:c>
    </x:row>
    <x:row r="15" ht="48" customHeight="1">
      <x:c r="A15" s="9" t="str">
        <x:v>REG_09</x:v>
      </x:c>
      <x:c r="B15" s="9" t="str">
        <x:v>圣托里尼海岸</x:v>
      </x:c>
      <x:c r="C15" s="9" t="str">
        <x:v>地中海</x:v>
      </x:c>
      <x:c r="D15" s="9" t="str">
        <x:v>蓝白与浪花</x:v>
      </x:c>
      <x:c r="E15" s="9" t="str">
        <x:v>首发</x:v>
      </x:c>
      <x:c r="F15" s="9" t="n">
        <x:v>12</x:v>
      </x:c>
      <x:c r="G15" s="9" t="n">
        <x:v>400</x:v>
      </x:c>
      <x:c r="H15" s="9" t="n">
        <x:v>480</x:v>
      </x:c>
      <x:c r="I15" s="9" t="str">
        <x:v>SET_09</x:v>
      </x:c>
      <x:c r="J15" s="9" t="str">
        <x:v>PL_09_A</x:v>
      </x:c>
      <x:c r="K15" s="9" t="str">
        <x:v>三角梅</x:v>
      </x:c>
      <x:c r="L15" s="9" t="str">
        <x:v>无花果</x:v>
      </x:c>
      <x:c r="M15" s="9" t="str">
        <x:v>日光海纹</x:v>
      </x:c>
      <x:c r="N15" s="9" t="str">
        <x:v>1次种子A/3次种子B/6次地区家具/12次荣誉见闻</x:v>
      </x:c>
      <x:c r="O15" s="9" t="str">
        <x:v>1—2角色；同队同费用奖励</x:v>
      </x:c>
      <x:c r="P15" s="9" t="str">
        <x:v>测试京都/巴黎/海岛仅迁移次数，其余待制作</x:v>
      </x:c>
    </x:row>
    <x:row r="16" ht="48" customHeight="1">
      <x:c r="A16" s="10" t="str">
        <x:v>REG_10</x:v>
      </x:c>
      <x:c r="B16" s="10" t="str">
        <x:v>巴厘岛雨林</x:v>
      </x:c>
      <x:c r="C16" s="10" t="str">
        <x:v>热带</x:v>
      </x:c>
      <x:c r="D16" s="10" t="str">
        <x:v>藤编与雨滴</x:v>
      </x:c>
      <x:c r="E16" s="10" t="str">
        <x:v>首发</x:v>
      </x:c>
      <x:c r="F16" s="10" t="n">
        <x:v>16</x:v>
      </x:c>
      <x:c r="G16" s="10" t="n">
        <x:v>440</x:v>
      </x:c>
      <x:c r="H16" s="10" t="n">
        <x:v>480</x:v>
      </x:c>
      <x:c r="I16" s="10" t="str">
        <x:v>SET_10</x:v>
      </x:c>
      <x:c r="J16" s="10" t="str">
        <x:v>PL_10_A</x:v>
      </x:c>
      <x:c r="K16" s="10" t="str">
        <x:v>鸡蛋花</x:v>
      </x:c>
      <x:c r="L16" s="10" t="str">
        <x:v>山竹</x:v>
      </x:c>
      <x:c r="M16" s="10" t="str">
        <x:v>雨幕叶脉</x:v>
      </x:c>
      <x:c r="N16" s="10" t="str">
        <x:v>1次种子A/3次种子B/6次地区家具/12次荣誉见闻</x:v>
      </x:c>
      <x:c r="O16" s="10" t="str">
        <x:v>1—2角色；同队同费用奖励</x:v>
      </x:c>
      <x:c r="P16" s="10" t="str">
        <x:v>测试京都/巴黎/海岛仅迁移次数，其余待制作</x:v>
      </x:c>
    </x:row>
    <x:row r="17" ht="48" customHeight="1">
      <x:c r="A17" s="9" t="str">
        <x:v>REG_11</x:v>
      </x:c>
      <x:c r="B17" s="9" t="str">
        <x:v>马拉喀什庭院</x:v>
      </x:c>
      <x:c r="C17" s="9" t="str">
        <x:v>北非</x:v>
      </x:c>
      <x:c r="D17" s="9" t="str">
        <x:v>拱门与铜纹</x:v>
      </x:c>
      <x:c r="E17" s="9" t="str">
        <x:v>首发</x:v>
      </x:c>
      <x:c r="F17" s="9" t="n">
        <x:v>20</x:v>
      </x:c>
      <x:c r="G17" s="9" t="n">
        <x:v>500</x:v>
      </x:c>
      <x:c r="H17" s="9" t="n">
        <x:v>720</x:v>
      </x:c>
      <x:c r="I17" s="9" t="str">
        <x:v>SET_11</x:v>
      </x:c>
      <x:c r="J17" s="9" t="str">
        <x:v>PL_11_A</x:v>
      </x:c>
      <x:c r="K17" s="9" t="str">
        <x:v>沙漠玫瑰</x:v>
      </x:c>
      <x:c r="L17" s="9" t="str">
        <x:v>椰枣</x:v>
      </x:c>
      <x:c r="M17" s="9" t="str">
        <x:v>日光镶金</x:v>
      </x:c>
      <x:c r="N17" s="9" t="str">
        <x:v>1次种子A/3次种子B/6次地区家具/12次荣誉见闻</x:v>
      </x:c>
      <x:c r="O17" s="9" t="str">
        <x:v>1—2角色；同队同费用奖励</x:v>
      </x:c>
      <x:c r="P17" s="9" t="str">
        <x:v>测试京都/巴黎/海岛仅迁移次数，其余待制作</x:v>
      </x:c>
    </x:row>
    <x:row r="18" ht="48" customHeight="1">
      <x:c r="A18" s="10" t="str">
        <x:v>REG_12</x:v>
      </x:c>
      <x:c r="B18" s="10" t="str">
        <x:v>冰岛极光原野</x:v>
      </x:c>
      <x:c r="C18" s="10" t="str">
        <x:v>北欧</x:v>
      </x:c>
      <x:c r="D18" s="10" t="str">
        <x:v>极光与黑岩</x:v>
      </x:c>
      <x:c r="E18" s="10" t="str">
        <x:v>首发</x:v>
      </x:c>
      <x:c r="F18" s="10" t="n">
        <x:v>24</x:v>
      </x:c>
      <x:c r="G18" s="10" t="n">
        <x:v>560</x:v>
      </x:c>
      <x:c r="H18" s="10" t="n">
        <x:v>720</x:v>
      </x:c>
      <x:c r="I18" s="10" t="str">
        <x:v>SET_12</x:v>
      </x:c>
      <x:c r="J18" s="10" t="str">
        <x:v>PL_12_A</x:v>
      </x:c>
      <x:c r="K18" s="10" t="str">
        <x:v>冰岛罂粟</x:v>
      </x:c>
      <x:c r="L18" s="10" t="str">
        <x:v>岩莓</x:v>
      </x:c>
      <x:c r="M18" s="10" t="str">
        <x:v>极光薄膜</x:v>
      </x:c>
      <x:c r="N18" s="10" t="str">
        <x:v>1次种子A/3次种子B/6次地区家具/12次荣誉见闻</x:v>
      </x:c>
      <x:c r="O18" s="10" t="str">
        <x:v>1—2角色；同队同费用奖励</x:v>
      </x:c>
      <x:c r="P18" s="10" t="str">
        <x:v>测试京都/巴黎/海岛仅迁移次数，其余待制作</x:v>
      </x:c>
    </x:row>
    <x:row r="19" ht="48" customHeight="1">
      <x:c r="A19" s="9" t="str">
        <x:v>REG_13</x:v>
      </x:c>
      <x:c r="B19" s="9" t="str">
        <x:v>大理风花谷</x:v>
      </x:c>
      <x:c r="C19" s="9" t="str">
        <x:v>东亚</x:v>
      </x:c>
      <x:c r="D19" s="9" t="str">
        <x:v>风铃与扎染</x:v>
      </x:c>
      <x:c r="E19" s="9" t="str">
        <x:v>M2</x:v>
      </x:c>
      <x:c r="F19" s="9" t="n">
        <x:v>28</x:v>
      </x:c>
      <x:c r="G19" s="9" t="n">
        <x:v>380</x:v>
      </x:c>
      <x:c r="H19" s="9" t="n">
        <x:v>480</x:v>
      </x:c>
      <x:c r="I19" s="9" t="str">
        <x:v>SET_13</x:v>
      </x:c>
      <x:c r="J19" s="9" t="str">
        <x:v>PL_13_A</x:v>
      </x:c>
      <x:c r="K19" s="9" t="str">
        <x:v>龙胆</x:v>
      </x:c>
      <x:c r="L19" s="9" t="str">
        <x:v>石榴</x:v>
      </x:c>
      <x:c r="M19" s="9" t="str">
        <x:v>微风花结</x:v>
      </x:c>
      <x:c r="N19" s="9" t="str">
        <x:v>1次种子A/3次种子B/6次地区家具/12次荣誉见闻</x:v>
      </x:c>
      <x:c r="O19" s="9" t="str">
        <x:v>1—2角色；同队同费用奖励</x:v>
      </x:c>
      <x:c r="P19" s="9" t="str">
        <x:v>测试京都/巴黎/海岛仅迁移次数，其余待制作</x:v>
      </x:c>
    </x:row>
    <x:row r="20" ht="48" customHeight="1">
      <x:c r="A20" s="10" t="str">
        <x:v>REG_14</x:v>
      </x:c>
      <x:c r="B20" s="10" t="str">
        <x:v>新加坡兰花园</x:v>
      </x:c>
      <x:c r="C20" s="10" t="str">
        <x:v>热带</x:v>
      </x:c>
      <x:c r="D20" s="10" t="str">
        <x:v>玻璃与兰花</x:v>
      </x:c>
      <x:c r="E20" s="10" t="str">
        <x:v>M2</x:v>
      </x:c>
      <x:c r="F20" s="10" t="n">
        <x:v>30</x:v>
      </x:c>
      <x:c r="G20" s="10" t="n">
        <x:v>420</x:v>
      </x:c>
      <x:c r="H20" s="10" t="n">
        <x:v>480</x:v>
      </x:c>
      <x:c r="I20" s="10" t="str">
        <x:v>SET_13</x:v>
      </x:c>
      <x:c r="J20" s="10" t="str">
        <x:v>PL_14_A</x:v>
      </x:c>
      <x:c r="K20" s="10" t="str">
        <x:v>蝴蝶兰</x:v>
      </x:c>
      <x:c r="L20" s="10" t="str">
        <x:v>红毛丹</x:v>
      </x:c>
      <x:c r="M20" s="10" t="str">
        <x:v>骤雨水珠</x:v>
      </x:c>
      <x:c r="N20" s="10" t="str">
        <x:v>1次种子A/3次种子B/6次地区家具/12次荣誉见闻</x:v>
      </x:c>
      <x:c r="O20" s="10" t="str">
        <x:v>1—2角色；同队同费用奖励</x:v>
      </x:c>
      <x:c r="P20" s="10" t="str">
        <x:v>测试京都/巴黎/海岛仅迁移次数，其余待制作</x:v>
      </x:c>
    </x:row>
    <x:row r="21" ht="48" customHeight="1">
      <x:c r="A21" s="9" t="str">
        <x:v>REG_15</x:v>
      </x:c>
      <x:c r="B21" s="9" t="str">
        <x:v>威尼斯水城</x:v>
      </x:c>
      <x:c r="C21" s="9" t="str">
        <x:v>欧洲</x:v>
      </x:c>
      <x:c r="D21" s="9" t="str">
        <x:v>彩玻璃与水巷</x:v>
      </x:c>
      <x:c r="E21" s="9" t="str">
        <x:v>M2</x:v>
      </x:c>
      <x:c r="F21" s="9" t="n">
        <x:v>32</x:v>
      </x:c>
      <x:c r="G21" s="9" t="n">
        <x:v>480</x:v>
      </x:c>
      <x:c r="H21" s="9" t="n">
        <x:v>720</x:v>
      </x:c>
      <x:c r="I21" s="9" t="str">
        <x:v>SET_14</x:v>
      </x:c>
      <x:c r="J21" s="9" t="str">
        <x:v>PL_15_A</x:v>
      </x:c>
      <x:c r="K21" s="9" t="str">
        <x:v>夹竹桃</x:v>
      </x:c>
      <x:c r="L21" s="9" t="str">
        <x:v>葡萄</x:v>
      </x:c>
      <x:c r="M21" s="9" t="str">
        <x:v>水面折光</x:v>
      </x:c>
      <x:c r="N21" s="9" t="str">
        <x:v>1次种子A/3次种子B/6次地区家具/12次荣誉见闻</x:v>
      </x:c>
      <x:c r="O21" s="9" t="str">
        <x:v>1—2角色；同队同费用奖励</x:v>
      </x:c>
      <x:c r="P21" s="9" t="str">
        <x:v>测试京都/巴黎/海岛仅迁移次数，其余待制作</x:v>
      </x:c>
    </x:row>
    <x:row r="22" ht="48" customHeight="1">
      <x:c r="A22" s="10" t="str">
        <x:v>REG_16</x:v>
      </x:c>
      <x:c r="B22" s="10" t="str">
        <x:v>开普敦花坡</x:v>
      </x:c>
      <x:c r="C22" s="10" t="str">
        <x:v>非洲</x:v>
      </x:c>
      <x:c r="D22" s="10" t="str">
        <x:v>帝王花与海风</x:v>
      </x:c>
      <x:c r="E22" s="10" t="str">
        <x:v>M2</x:v>
      </x:c>
      <x:c r="F22" s="10" t="n">
        <x:v>34</x:v>
      </x:c>
      <x:c r="G22" s="10" t="n">
        <x:v>500</x:v>
      </x:c>
      <x:c r="H22" s="10" t="n">
        <x:v>720</x:v>
      </x:c>
      <x:c r="I22" s="10" t="str">
        <x:v>SET_14</x:v>
      </x:c>
      <x:c r="J22" s="10" t="str">
        <x:v>PL_16_A</x:v>
      </x:c>
      <x:c r="K22" s="10" t="str">
        <x:v>帝王花</x:v>
      </x:c>
      <x:c r="L22" s="10" t="str">
        <x:v>开普醋栗</x:v>
      </x:c>
      <x:c r="M22" s="10" t="str">
        <x:v>暖风绒面</x:v>
      </x:c>
      <x:c r="N22" s="10" t="str">
        <x:v>1次种子A/3次种子B/6次地区家具/12次荣誉见闻</x:v>
      </x:c>
      <x:c r="O22" s="10" t="str">
        <x:v>1—2角色；同队同费用奖励</x:v>
      </x:c>
      <x:c r="P22" s="10" t="str">
        <x:v>测试京都/巴黎/海岛仅迁移次数，其余待制作</x:v>
      </x:c>
    </x:row>
    <x:row r="23" ht="48" customHeight="1">
      <x:c r="A23" s="9" t="str">
        <x:v>REG_17</x:v>
      </x:c>
      <x:c r="B23" s="9" t="str">
        <x:v>里斯本彩砖街</x:v>
      </x:c>
      <x:c r="C23" s="9" t="str">
        <x:v>欧洲</x:v>
      </x:c>
      <x:c r="D23" s="9" t="str">
        <x:v>蓝瓷与暖阳</x:v>
      </x:c>
      <x:c r="E23" s="9" t="str">
        <x:v>M3</x:v>
      </x:c>
      <x:c r="F23" s="9" t="n">
        <x:v>38</x:v>
      </x:c>
      <x:c r="G23" s="9" t="n">
        <x:v>500</x:v>
      </x:c>
      <x:c r="H23" s="9" t="n">
        <x:v>720</x:v>
      </x:c>
      <x:c r="I23" s="9" t="str">
        <x:v>SET_15</x:v>
      </x:c>
      <x:c r="J23" s="9" t="str">
        <x:v>PL_17_A</x:v>
      </x:c>
      <x:c r="K23" s="9" t="str">
        <x:v>蓝花楹</x:v>
      </x:c>
      <x:c r="L23" s="9" t="str">
        <x:v>甜橙</x:v>
      </x:c>
      <x:c r="M23" s="9" t="str">
        <x:v>日光釉彩</x:v>
      </x:c>
      <x:c r="N23" s="9" t="str">
        <x:v>1次种子A/3次种子B/6次地区家具/12次荣誉见闻</x:v>
      </x:c>
      <x:c r="O23" s="9" t="str">
        <x:v>1—2角色；同队同费用奖励</x:v>
      </x:c>
      <x:c r="P23" s="9" t="str">
        <x:v>测试京都/巴黎/海岛仅迁移次数，其余待制作</x:v>
      </x:c>
    </x:row>
    <x:row r="24" ht="48" customHeight="1">
      <x:c r="A24" s="10" t="str">
        <x:v>REG_18</x:v>
      </x:c>
      <x:c r="B24" s="10" t="str">
        <x:v>挪威峡湾</x:v>
      </x:c>
      <x:c r="C24" s="10" t="str">
        <x:v>北欧</x:v>
      </x:c>
      <x:c r="D24" s="10" t="str">
        <x:v>峡湾与冷杉</x:v>
      </x:c>
      <x:c r="E24" s="10" t="str">
        <x:v>M3</x:v>
      </x:c>
      <x:c r="F24" s="10" t="n">
        <x:v>42</x:v>
      </x:c>
      <x:c r="G24" s="10" t="n">
        <x:v>540</x:v>
      </x:c>
      <x:c r="H24" s="10" t="n">
        <x:v>720</x:v>
      </x:c>
      <x:c r="I24" s="10" t="str">
        <x:v>SET_15</x:v>
      </x:c>
      <x:c r="J24" s="10" t="str">
        <x:v>PL_18_A</x:v>
      </x:c>
      <x:c r="K24" s="10" t="str">
        <x:v>羽扇豆</x:v>
      </x:c>
      <x:c r="L24" s="10" t="str">
        <x:v>云莓</x:v>
      </x:c>
      <x:c r="M24" s="10" t="str">
        <x:v>雪雾银边</x:v>
      </x:c>
      <x:c r="N24" s="10" t="str">
        <x:v>1次种子A/3次种子B/6次地区家具/12次荣誉见闻</x:v>
      </x:c>
      <x:c r="O24" s="10" t="str">
        <x:v>1—2角色；同队同费用奖励</x:v>
      </x:c>
      <x:c r="P24" s="10" t="str">
        <x:v>测试京都/巴黎/海岛仅迁移次数，其余待制作</x:v>
      </x:c>
    </x:row>
    <x:row r="25" ht="48" customHeight="1">
      <x:c r="A25" s="9" t="str">
        <x:v>REG_19</x:v>
      </x:c>
      <x:c r="B25" s="9" t="str">
        <x:v>瓦哈卡花市</x:v>
      </x:c>
      <x:c r="C25" s="9" t="str">
        <x:v>美洲</x:v>
      </x:c>
      <x:c r="D25" s="9" t="str">
        <x:v>剪纸与万寿菊</x:v>
      </x:c>
      <x:c r="E25" s="9" t="str">
        <x:v>M3</x:v>
      </x:c>
      <x:c r="F25" s="9" t="n">
        <x:v>46</x:v>
      </x:c>
      <x:c r="G25" s="9" t="n">
        <x:v>560</x:v>
      </x:c>
      <x:c r="H25" s="9" t="n">
        <x:v>720</x:v>
      </x:c>
      <x:c r="I25" s="9" t="str">
        <x:v>SET_16</x:v>
      </x:c>
      <x:c r="J25" s="9" t="str">
        <x:v>PL_19_A</x:v>
      </x:c>
      <x:c r="K25" s="9" t="str">
        <x:v>万寿菊</x:v>
      </x:c>
      <x:c r="L25" s="9" t="str">
        <x:v>番石榴</x:v>
      </x:c>
      <x:c r="M25" s="9" t="str">
        <x:v>蜜风花瓣</x:v>
      </x:c>
      <x:c r="N25" s="9" t="str">
        <x:v>1次种子A/3次种子B/6次地区家具/12次荣誉见闻</x:v>
      </x:c>
      <x:c r="O25" s="9" t="str">
        <x:v>1—2角色；同队同费用奖励</x:v>
      </x:c>
      <x:c r="P25" s="9" t="str">
        <x:v>测试京都/巴黎/海岛仅迁移次数，其余待制作</x:v>
      </x:c>
    </x:row>
    <x:row r="26" ht="48" customHeight="1">
      <x:c r="A26" s="10" t="str">
        <x:v>REG_20</x:v>
      </x:c>
      <x:c r="B26" s="10" t="str">
        <x:v>新西兰湖区</x:v>
      </x:c>
      <x:c r="C26" s="10" t="str">
        <x:v>大洋洲</x:v>
      </x:c>
      <x:c r="D26" s="10" t="str">
        <x:v>银蕨与湖光</x:v>
      </x:c>
      <x:c r="E26" s="10" t="str">
        <x:v>M3</x:v>
      </x:c>
      <x:c r="F26" s="10" t="n">
        <x:v>50</x:v>
      </x:c>
      <x:c r="G26" s="10" t="n">
        <x:v>600</x:v>
      </x:c>
      <x:c r="H26" s="10" t="n">
        <x:v>960</x:v>
      </x:c>
      <x:c r="I26" s="10" t="str">
        <x:v>SET_16</x:v>
      </x:c>
      <x:c r="J26" s="10" t="str">
        <x:v>PL_20_A</x:v>
      </x:c>
      <x:c r="K26" s="10" t="str">
        <x:v>银蕨</x:v>
      </x:c>
      <x:c r="L26" s="10" t="str">
        <x:v>奇异果</x:v>
      </x:c>
      <x:c r="M26" s="10" t="str">
        <x:v>雨后虹光</x:v>
      </x:c>
      <x:c r="N26" s="10" t="str">
        <x:v>1次种子A/3次种子B/6次地区家具/12次荣誉见闻</x:v>
      </x:c>
      <x:c r="O26" s="10" t="str">
        <x:v>1—2角色；同队同费用奖励</x:v>
      </x:c>
      <x:c r="P26" s="10" t="str">
        <x:v>测试京都/巴黎/海岛仅迁移次数，其余待制作</x:v>
      </x:c>
    </x:row>
    <x:row r="27" ht="48" customHeight="1">
      <x:c r="A27" s="9" t="str">
        <x:v>REG_21</x:v>
      </x:c>
      <x:c r="B27" s="9" t="str">
        <x:v>伊斯坦布尔花园</x:v>
      </x:c>
      <x:c r="C27" s="9" t="str">
        <x:v>西亚</x:v>
      </x:c>
      <x:c r="D27" s="9" t="str">
        <x:v>彩灯与郁金纹</x:v>
      </x:c>
      <x:c r="E27" s="9" t="str">
        <x:v>M4</x:v>
      </x:c>
      <x:c r="F27" s="9" t="n">
        <x:v>54</x:v>
      </x:c>
      <x:c r="G27" s="9" t="n">
        <x:v>600</x:v>
      </x:c>
      <x:c r="H27" s="9" t="n">
        <x:v>960</x:v>
      </x:c>
      <x:c r="I27" s="9" t="str">
        <x:v>SET_17</x:v>
      </x:c>
      <x:c r="J27" s="9" t="str">
        <x:v>PL_21_A</x:v>
      </x:c>
      <x:c r="K27" s="9" t="str">
        <x:v>风信子</x:v>
      </x:c>
      <x:c r="L27" s="9" t="str">
        <x:v>桑葚</x:v>
      </x:c>
      <x:c r="M27" s="9" t="str">
        <x:v>晨光琥珀</x:v>
      </x:c>
      <x:c r="N27" s="9" t="str">
        <x:v>1次种子A/3次种子B/6次地区家具/12次荣誉见闻</x:v>
      </x:c>
      <x:c r="O27" s="9" t="str">
        <x:v>1—2角色；同队同费用奖励</x:v>
      </x:c>
      <x:c r="P27" s="9" t="str">
        <x:v>测试京都/巴黎/海岛仅迁移次数，其余待制作</x:v>
      </x:c>
    </x:row>
    <x:row r="28" ht="48" customHeight="1">
      <x:c r="A28" s="10" t="str">
        <x:v>REG_22</x:v>
      </x:c>
      <x:c r="B28" s="10" t="str">
        <x:v>库斯科山城</x:v>
      </x:c>
      <x:c r="C28" s="10" t="str">
        <x:v>南美</x:v>
      </x:c>
      <x:c r="D28" s="10" t="str">
        <x:v>梯田与织毯</x:v>
      </x:c>
      <x:c r="E28" s="10" t="str">
        <x:v>M4</x:v>
      </x:c>
      <x:c r="F28" s="10" t="n">
        <x:v>58</x:v>
      </x:c>
      <x:c r="G28" s="10" t="n">
        <x:v>620</x:v>
      </x:c>
      <x:c r="H28" s="10" t="n">
        <x:v>960</x:v>
      </x:c>
      <x:c r="I28" s="10" t="str">
        <x:v>SET_17</x:v>
      </x:c>
      <x:c r="J28" s="10" t="str">
        <x:v>PL_22_A</x:v>
      </x:c>
      <x:c r="K28" s="10" t="str">
        <x:v>羊驼花</x:v>
      </x:c>
      <x:c r="L28" s="10" t="str">
        <x:v>刺梨</x:v>
      </x:c>
      <x:c r="M28" s="10" t="str">
        <x:v>高原星图</x:v>
      </x:c>
      <x:c r="N28" s="10" t="str">
        <x:v>1次种子A/3次种子B/6次地区家具/12次荣誉见闻</x:v>
      </x:c>
      <x:c r="O28" s="10" t="str">
        <x:v>1—2角色；同队同费用奖励</x:v>
      </x:c>
      <x:c r="P28" s="10" t="str">
        <x:v>测试京都/巴黎/海岛仅迁移次数，其余待制作</x:v>
      </x:c>
    </x:row>
    <x:row r="29" ht="48" customHeight="1">
      <x:c r="A29" s="9" t="str">
        <x:v>REG_23</x:v>
      </x:c>
      <x:c r="B29" s="9" t="str">
        <x:v>加拿大枫林</x:v>
      </x:c>
      <x:c r="C29" s="9" t="str">
        <x:v>北美</x:v>
      </x:c>
      <x:c r="D29" s="9" t="str">
        <x:v>枫叶与木屋</x:v>
      </x:c>
      <x:c r="E29" s="9" t="str">
        <x:v>M4</x:v>
      </x:c>
      <x:c r="F29" s="9" t="n">
        <x:v>62</x:v>
      </x:c>
      <x:c r="G29" s="9" t="n">
        <x:v>640</x:v>
      </x:c>
      <x:c r="H29" s="9" t="n">
        <x:v>960</x:v>
      </x:c>
      <x:c r="I29" s="9" t="str">
        <x:v>SET_18</x:v>
      </x:c>
      <x:c r="J29" s="9" t="str">
        <x:v>PL_23_A</x:v>
      </x:c>
      <x:c r="K29" s="9" t="str">
        <x:v>紫菀</x:v>
      </x:c>
      <x:c r="L29" s="9" t="str">
        <x:v>蔓越莓</x:v>
      </x:c>
      <x:c r="M29" s="9" t="str">
        <x:v>秋叶蜜光</x:v>
      </x:c>
      <x:c r="N29" s="9" t="str">
        <x:v>1次种子A/3次种子B/6次地区家具/12次荣誉见闻</x:v>
      </x:c>
      <x:c r="O29" s="9" t="str">
        <x:v>1—2角色；同队同费用奖励</x:v>
      </x:c>
      <x:c r="P29" s="9" t="str">
        <x:v>测试京都/巴黎/海岛仅迁移次数，其余待制作</x:v>
      </x:c>
    </x:row>
    <x:row r="30" ht="48" customHeight="1">
      <x:c r="A30" s="10" t="str">
        <x:v>REG_24</x:v>
      </x:c>
      <x:c r="B30" s="10" t="str">
        <x:v>塔斯马尼亚林地</x:v>
      </x:c>
      <x:c r="C30" s="10" t="str">
        <x:v>大洋洲</x:v>
      </x:c>
      <x:c r="D30" s="10" t="str">
        <x:v>苔藓与萤光</x:v>
      </x:c>
      <x:c r="E30" s="10" t="str">
        <x:v>M4</x:v>
      </x:c>
      <x:c r="F30" s="10" t="n">
        <x:v>66</x:v>
      </x:c>
      <x:c r="G30" s="10" t="n">
        <x:v>680</x:v>
      </x:c>
      <x:c r="H30" s="10" t="n">
        <x:v>960</x:v>
      </x:c>
      <x:c r="I30" s="10" t="str">
        <x:v>SET_18</x:v>
      </x:c>
      <x:c r="J30" s="10" t="str">
        <x:v>PL_24_A</x:v>
      </x:c>
      <x:c r="K30" s="10" t="str">
        <x:v>树蕨</x:v>
      </x:c>
      <x:c r="L30" s="10" t="str">
        <x:v>桃金娘果</x:v>
      </x:c>
      <x:c r="M30" s="10" t="str">
        <x:v>夜雨萤光</x:v>
      </x:c>
      <x:c r="N30" s="10" t="str">
        <x:v>1次种子A/3次种子B/6次地区家具/12次荣誉见闻</x:v>
      </x:c>
      <x:c r="O30" s="10" t="str">
        <x:v>1—2角色；同队同费用奖励</x:v>
      </x:c>
      <x:c r="P30" s="10" t="str">
        <x:v>测试京都/巴黎/海岛仅迁移次数，其余待制作</x:v>
      </x:c>
    </x:row>
  </x:sheetData>
  <x:pageMargins left="0.7" right="0.7" top="0.75" bottom="0.75" header="0.3" footer="0.3"/>
  <x:tableParts count="1">
    <x:tablePart xmlns:r="http://schemas.openxmlformats.org/officeDocument/2006/relationships" r:id="Rd7fc17560a864d3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17" hidden="0" customWidth="1"/>
    <x:col min="3" max="3" width="20" hidden="0" customWidth="1"/>
    <x:col min="4" max="4" width="13" hidden="0" customWidth="1"/>
    <x:col min="5" max="5" width="14" hidden="0" customWidth="1"/>
    <x:col min="6" max="6" width="18" hidden="0" customWidth="1"/>
    <x:col min="7" max="7" width="17" hidden="0" customWidth="1"/>
    <x:col min="8" max="8" width="17" hidden="0" customWidth="1"/>
    <x:col min="9" max="9" width="18" hidden="0" customWidth="1"/>
    <x:col min="10" max="10" width="20" hidden="0" customWidth="1"/>
    <x:col min="11" max="11" width="58" hidden="0" customWidth="1"/>
    <x:col min="12" max="12" width="68" hidden="0" customWidth="1"/>
    <x:col min="13" max="13" width="4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地区植物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4" customHeight="1">
      <x:c r="A6" s="8" t="str">
        <x:v>物种ID</x:v>
      </x:c>
      <x:c r="B6" s="8" t="str">
        <x:v>地区ID</x:v>
      </x:c>
      <x:c r="C6" s="8" t="str">
        <x:v>名称</x:v>
      </x:c>
      <x:c r="D6" s="8" t="str">
        <x:v>类型</x:v>
      </x:c>
      <x:c r="E6" s="8" t="str">
        <x:v>批次</x:v>
      </x:c>
      <x:c r="F6" s="8" t="str">
        <x:v>种子金币价</x:v>
      </x:c>
      <x:c r="G6" s="8" t="str">
        <x:v>成熟分钟</x:v>
      </x:c>
      <x:c r="H6" s="8" t="str">
        <x:v>基础售价</x:v>
      </x:c>
      <x:c r="I6" s="8" t="str">
        <x:v>单株净金币</x:v>
      </x:c>
      <x:c r="J6" s="8" t="str">
        <x:v>解锁旅行次数</x:v>
      </x:c>
      <x:c r="K6" s="8" t="str">
        <x:v>美术差异</x:v>
      </x:c>
      <x:c r="L6" s="8" t="str">
        <x:v>基因与经济规则</x:v>
      </x:c>
      <x:c r="M6" s="8" t="str">
        <x:v>实现状态</x:v>
      </x:c>
    </x:row>
    <x:row r="7" ht="48" customHeight="1">
      <x:c r="A7" s="9" t="str">
        <x:v>PL_01_A</x:v>
      </x:c>
      <x:c r="B7" s="9" t="str">
        <x:v>REG_01</x:v>
      </x:c>
      <x:c r="C7" s="9" t="str">
        <x:v>睡莲</x:v>
      </x:c>
      <x:c r="D7" s="9" t="str">
        <x:v>花卉</x:v>
      </x:c>
      <x:c r="E7" s="9" t="str">
        <x:v>首发</x:v>
      </x:c>
      <x:c r="F7" s="9" t="n">
        <x:v>20</x:v>
      </x:c>
      <x:c r="G7" s="9" t="n">
        <x:v>120</x:v>
      </x:c>
      <x:c r="H7" s="9" t="n">
        <x:v>92</x:v>
      </x:c>
      <x:c r="I7" s="9" t="n">
        <x:f>H7-F7</x:f>
        <x:v>72</x:v>
      </x:c>
      <x:c r="J7" s="9" t="n">
        <x:v>1</x:v>
      </x:c>
      <x:c r="K7" s="9" t="str">
        <x:v>水纹与灯影；花瓣轮廓独立资产</x:v>
      </x:c>
      <x:c r="L7" s="9" t="str">
        <x:v>新物种独立外观；沿用四槽/天气/金色繁育；无地区收益倍率</x:v>
      </x:c>
      <x:c r="M7" s="9" t="str">
        <x:v>待物种配置与模型/贴图制作</x:v>
      </x:c>
    </x:row>
    <x:row r="8" ht="48" customHeight="1">
      <x:c r="A8" s="10" t="str">
        <x:v>PL_01_B</x:v>
      </x:c>
      <x:c r="B8" s="10" t="str">
        <x:v>REG_01</x:v>
      </x:c>
      <x:c r="C8" s="10" t="str">
        <x:v>青梅</x:v>
      </x:c>
      <x:c r="D8" s="10" t="str">
        <x:v>果实</x:v>
      </x:c>
      <x:c r="E8" s="10" t="str">
        <x:v>首发</x:v>
      </x:c>
      <x:c r="F8" s="10" t="n">
        <x:v>54</x:v>
      </x:c>
      <x:c r="G8" s="10" t="n">
        <x:v>480</x:v>
      </x:c>
      <x:c r="H8" s="10" t="n">
        <x:v>220</x:v>
      </x:c>
      <x:c r="I8" s="10" t="n">
        <x:f>H8-F8</x:f>
        <x:v>166</x:v>
      </x:c>
      <x:c r="J8" s="10" t="n">
        <x:v>3</x:v>
      </x:c>
      <x:c r="K8" s="10" t="str">
        <x:v>水纹与灯影；果实表皮独立资产</x:v>
      </x:c>
      <x:c r="L8" s="10" t="str">
        <x:v>新物种独立外观；沿用四槽/天气/金色繁育；无地区收益倍率</x:v>
      </x:c>
      <x:c r="M8" s="10" t="str">
        <x:v>待物种配置与模型/贴图制作</x:v>
      </x:c>
    </x:row>
    <x:row r="9" ht="48" customHeight="1">
      <x:c r="A9" s="9" t="str">
        <x:v>PL_02_A</x:v>
      </x:c>
      <x:c r="B9" s="9" t="str">
        <x:v>REG_02</x:v>
      </x:c>
      <x:c r="C9" s="9" t="str">
        <x:v>茶花</x:v>
      </x:c>
      <x:c r="D9" s="9" t="str">
        <x:v>花卉</x:v>
      </x:c>
      <x:c r="E9" s="9" t="str">
        <x:v>首发</x:v>
      </x:c>
      <x:c r="F9" s="9" t="n">
        <x:v>20</x:v>
      </x:c>
      <x:c r="G9" s="9" t="n">
        <x:v>120</x:v>
      </x:c>
      <x:c r="H9" s="9" t="n">
        <x:v>92</x:v>
      </x:c>
      <x:c r="I9" s="9" t="n">
        <x:f>H9-F9</x:f>
        <x:v>72</x:v>
      </x:c>
      <x:c r="J9" s="9" t="n">
        <x:v>1</x:v>
      </x:c>
      <x:c r="K9" s="9" t="str">
        <x:v>茶雾与竹影；花瓣轮廓独立资产</x:v>
      </x:c>
      <x:c r="L9" s="9" t="str">
        <x:v>新物种独立外观；沿用四槽/天气/金色繁育；无地区收益倍率</x:v>
      </x:c>
      <x:c r="M9" s="9" t="str">
        <x:v>待物种配置与模型/贴图制作</x:v>
      </x:c>
    </x:row>
    <x:row r="10" ht="48" customHeight="1">
      <x:c r="A10" s="10" t="str">
        <x:v>PL_02_B</x:v>
      </x:c>
      <x:c r="B10" s="10" t="str">
        <x:v>REG_02</x:v>
      </x:c>
      <x:c r="C10" s="10" t="str">
        <x:v>枇杷</x:v>
      </x:c>
      <x:c r="D10" s="10" t="str">
        <x:v>果实</x:v>
      </x:c>
      <x:c r="E10" s="10" t="str">
        <x:v>首发</x:v>
      </x:c>
      <x:c r="F10" s="10" t="n">
        <x:v>54</x:v>
      </x:c>
      <x:c r="G10" s="10" t="n">
        <x:v>480</x:v>
      </x:c>
      <x:c r="H10" s="10" t="n">
        <x:v>220</x:v>
      </x:c>
      <x:c r="I10" s="10" t="n">
        <x:f>H10-F10</x:f>
        <x:v>166</x:v>
      </x:c>
      <x:c r="J10" s="10" t="n">
        <x:v>3</x:v>
      </x:c>
      <x:c r="K10" s="10" t="str">
        <x:v>茶雾与竹影；果实表皮独立资产</x:v>
      </x:c>
      <x:c r="L10" s="10" t="str">
        <x:v>新物种独立外观；沿用四槽/天气/金色繁育；无地区收益倍率</x:v>
      </x:c>
      <x:c r="M10" s="10" t="str">
        <x:v>待物种配置与模型/贴图制作</x:v>
      </x:c>
    </x:row>
    <x:row r="11" ht="48" customHeight="1">
      <x:c r="A11" s="9" t="str">
        <x:v>PL_03_A</x:v>
      </x:c>
      <x:c r="B11" s="9" t="str">
        <x:v>REG_03</x:v>
      </x:c>
      <x:c r="C11" s="9" t="str">
        <x:v>铃兰</x:v>
      </x:c>
      <x:c r="D11" s="9" t="str">
        <x:v>花卉</x:v>
      </x:c>
      <x:c r="E11" s="9" t="str">
        <x:v>首发</x:v>
      </x:c>
      <x:c r="F11" s="9" t="n">
        <x:v>20</x:v>
      </x:c>
      <x:c r="G11" s="9" t="n">
        <x:v>120</x:v>
      </x:c>
      <x:c r="H11" s="9" t="n">
        <x:v>92</x:v>
      </x:c>
      <x:c r="I11" s="9" t="n">
        <x:f>H11-F11</x:f>
        <x:v>72</x:v>
      </x:c>
      <x:c r="J11" s="9" t="n">
        <x:v>1</x:v>
      </x:c>
      <x:c r="K11" s="9" t="str">
        <x:v>月光与铃兰；花瓣轮廓独立资产</x:v>
      </x:c>
      <x:c r="L11" s="9" t="str">
        <x:v>新物种独立外观；沿用四槽/天气/金色繁育；无地区收益倍率</x:v>
      </x:c>
      <x:c r="M11" s="9" t="str">
        <x:v>待物种配置与模型/贴图制作</x:v>
      </x:c>
    </x:row>
    <x:row r="12" ht="48" customHeight="1">
      <x:c r="A12" s="10" t="str">
        <x:v>PL_03_B</x:v>
      </x:c>
      <x:c r="B12" s="10" t="str">
        <x:v>REG_03</x:v>
      </x:c>
      <x:c r="C12" s="10" t="str">
        <x:v>柚子</x:v>
      </x:c>
      <x:c r="D12" s="10" t="str">
        <x:v>果实</x:v>
      </x:c>
      <x:c r="E12" s="10" t="str">
        <x:v>首发</x:v>
      </x:c>
      <x:c r="F12" s="10" t="n">
        <x:v>54</x:v>
      </x:c>
      <x:c r="G12" s="10" t="n">
        <x:v>480</x:v>
      </x:c>
      <x:c r="H12" s="10" t="n">
        <x:v>220</x:v>
      </x:c>
      <x:c r="I12" s="10" t="n">
        <x:f>H12-F12</x:f>
        <x:v>166</x:v>
      </x:c>
      <x:c r="J12" s="10" t="n">
        <x:v>3</x:v>
      </x:c>
      <x:c r="K12" s="10" t="str">
        <x:v>月光与铃兰；果实表皮独立资产</x:v>
      </x:c>
      <x:c r="L12" s="10" t="str">
        <x:v>新物种独立外观；沿用四槽/天气/金色繁育；无地区收益倍率</x:v>
      </x:c>
      <x:c r="M12" s="10" t="str">
        <x:v>待物种配置与模型/贴图制作</x:v>
      </x:c>
    </x:row>
    <x:row r="13" ht="48" customHeight="1">
      <x:c r="A13" s="9" t="str">
        <x:v>PL_04_A</x:v>
      </x:c>
      <x:c r="B13" s="9" t="str">
        <x:v>REG_04</x:v>
      </x:c>
      <x:c r="C13" s="9" t="str">
        <x:v>雪片莲</x:v>
      </x:c>
      <x:c r="D13" s="9" t="str">
        <x:v>花卉</x:v>
      </x:c>
      <x:c r="E13" s="9" t="str">
        <x:v>首发</x:v>
      </x:c>
      <x:c r="F13" s="9" t="n">
        <x:v>20</x:v>
      </x:c>
      <x:c r="G13" s="9" t="n">
        <x:v>120</x:v>
      </x:c>
      <x:c r="H13" s="9" t="n">
        <x:v>92</x:v>
      </x:c>
      <x:c r="I13" s="9" t="n">
        <x:f>H13-F13</x:f>
        <x:v>72</x:v>
      </x:c>
      <x:c r="J13" s="9" t="n">
        <x:v>1</x:v>
      </x:c>
      <x:c r="K13" s="9" t="str">
        <x:v>霜花与木屋；花瓣轮廓独立资产</x:v>
      </x:c>
      <x:c r="L13" s="9" t="str">
        <x:v>新物种独立外观；沿用四槽/天气/金色繁育；无地区收益倍率</x:v>
      </x:c>
      <x:c r="M13" s="9" t="str">
        <x:v>待物种配置与模型/贴图制作</x:v>
      </x:c>
    </x:row>
    <x:row r="14" ht="48" customHeight="1">
      <x:c r="A14" s="10" t="str">
        <x:v>PL_04_B</x:v>
      </x:c>
      <x:c r="B14" s="10" t="str">
        <x:v>REG_04</x:v>
      </x:c>
      <x:c r="C14" s="10" t="str">
        <x:v>蓝靛果</x:v>
      </x:c>
      <x:c r="D14" s="10" t="str">
        <x:v>果实</x:v>
      </x:c>
      <x:c r="E14" s="10" t="str">
        <x:v>首发</x:v>
      </x:c>
      <x:c r="F14" s="10" t="n">
        <x:v>54</x:v>
      </x:c>
      <x:c r="G14" s="10" t="n">
        <x:v>480</x:v>
      </x:c>
      <x:c r="H14" s="10" t="n">
        <x:v>220</x:v>
      </x:c>
      <x:c r="I14" s="10" t="n">
        <x:f>H14-F14</x:f>
        <x:v>166</x:v>
      </x:c>
      <x:c r="J14" s="10" t="n">
        <x:v>3</x:v>
      </x:c>
      <x:c r="K14" s="10" t="str">
        <x:v>霜花与木屋；果实表皮独立资产</x:v>
      </x:c>
      <x:c r="L14" s="10" t="str">
        <x:v>新物种独立外观；沿用四槽/天气/金色繁育；无地区收益倍率</x:v>
      </x:c>
      <x:c r="M14" s="10" t="str">
        <x:v>待物种配置与模型/贴图制作</x:v>
      </x:c>
    </x:row>
    <x:row r="15" ht="48" customHeight="1">
      <x:c r="A15" s="9" t="str">
        <x:v>PL_05_A</x:v>
      </x:c>
      <x:c r="B15" s="9" t="str">
        <x:v>REG_05</x:v>
      </x:c>
      <x:c r="C15" s="9" t="str">
        <x:v>鸢尾</x:v>
      </x:c>
      <x:c r="D15" s="9" t="str">
        <x:v>花卉</x:v>
      </x:c>
      <x:c r="E15" s="9" t="str">
        <x:v>首发</x:v>
      </x:c>
      <x:c r="F15" s="9" t="n">
        <x:v>20</x:v>
      </x:c>
      <x:c r="G15" s="9" t="n">
        <x:v>120</x:v>
      </x:c>
      <x:c r="H15" s="9" t="n">
        <x:v>92</x:v>
      </x:c>
      <x:c r="I15" s="9" t="n">
        <x:f>H15-F15</x:f>
        <x:v>72</x:v>
      </x:c>
      <x:c r="J15" s="9" t="n">
        <x:v>1</x:v>
      </x:c>
      <x:c r="K15" s="9" t="str">
        <x:v>花窗与丝绒；花瓣轮廓独立资产</x:v>
      </x:c>
      <x:c r="L15" s="9" t="str">
        <x:v>新物种独立外观；沿用四槽/天气/金色繁育；无地区收益倍率</x:v>
      </x:c>
      <x:c r="M15" s="9" t="str">
        <x:v>待物种配置与模型/贴图制作</x:v>
      </x:c>
    </x:row>
    <x:row r="16" ht="48" customHeight="1">
      <x:c r="A16" s="10" t="str">
        <x:v>PL_05_B</x:v>
      </x:c>
      <x:c r="B16" s="10" t="str">
        <x:v>REG_05</x:v>
      </x:c>
      <x:c r="C16" s="10" t="str">
        <x:v>覆盆子</x:v>
      </x:c>
      <x:c r="D16" s="10" t="str">
        <x:v>果实</x:v>
      </x:c>
      <x:c r="E16" s="10" t="str">
        <x:v>首发</x:v>
      </x:c>
      <x:c r="F16" s="10" t="n">
        <x:v>54</x:v>
      </x:c>
      <x:c r="G16" s="10" t="n">
        <x:v>480</x:v>
      </x:c>
      <x:c r="H16" s="10" t="n">
        <x:v>220</x:v>
      </x:c>
      <x:c r="I16" s="10" t="n">
        <x:f>H16-F16</x:f>
        <x:v>166</x:v>
      </x:c>
      <x:c r="J16" s="10" t="n">
        <x:v>3</x:v>
      </x:c>
      <x:c r="K16" s="10" t="str">
        <x:v>花窗与丝绒；果实表皮独立资产</x:v>
      </x:c>
      <x:c r="L16" s="10" t="str">
        <x:v>新物种独立外观；沿用四槽/天气/金色繁育；无地区收益倍率</x:v>
      </x:c>
      <x:c r="M16" s="10" t="str">
        <x:v>待物种配置与模型/贴图制作</x:v>
      </x:c>
    </x:row>
    <x:row r="17" ht="48" customHeight="1">
      <x:c r="A17" s="9" t="str">
        <x:v>PL_06_A</x:v>
      </x:c>
      <x:c r="B17" s="9" t="str">
        <x:v>REG_06</x:v>
      </x:c>
      <x:c r="C17" s="9" t="str">
        <x:v>薰衣草</x:v>
      </x:c>
      <x:c r="D17" s="9" t="str">
        <x:v>花卉</x:v>
      </x:c>
      <x:c r="E17" s="9" t="str">
        <x:v>首发</x:v>
      </x:c>
      <x:c r="F17" s="9" t="n">
        <x:v>20</x:v>
      </x:c>
      <x:c r="G17" s="9" t="n">
        <x:v>120</x:v>
      </x:c>
      <x:c r="H17" s="9" t="n">
        <x:v>92</x:v>
      </x:c>
      <x:c r="I17" s="9" t="n">
        <x:f>H17-F17</x:f>
        <x:v>72</x:v>
      </x:c>
      <x:c r="J17" s="9" t="n">
        <x:v>1</x:v>
      </x:c>
      <x:c r="K17" s="9" t="str">
        <x:v>紫穗与暖风；花瓣轮廓独立资产</x:v>
      </x:c>
      <x:c r="L17" s="9" t="str">
        <x:v>新物种独立外观；沿用四槽/天气/金色繁育；无地区收益倍率</x:v>
      </x:c>
      <x:c r="M17" s="9" t="str">
        <x:v>待物种配置与模型/贴图制作</x:v>
      </x:c>
    </x:row>
    <x:row r="18" ht="48" customHeight="1">
      <x:c r="A18" s="10" t="str">
        <x:v>PL_06_B</x:v>
      </x:c>
      <x:c r="B18" s="10" t="str">
        <x:v>REG_06</x:v>
      </x:c>
      <x:c r="C18" s="10" t="str">
        <x:v>杏子</x:v>
      </x:c>
      <x:c r="D18" s="10" t="str">
        <x:v>果实</x:v>
      </x:c>
      <x:c r="E18" s="10" t="str">
        <x:v>首发</x:v>
      </x:c>
      <x:c r="F18" s="10" t="n">
        <x:v>54</x:v>
      </x:c>
      <x:c r="G18" s="10" t="n">
        <x:v>480</x:v>
      </x:c>
      <x:c r="H18" s="10" t="n">
        <x:v>220</x:v>
      </x:c>
      <x:c r="I18" s="10" t="n">
        <x:f>H18-F18</x:f>
        <x:v>166</x:v>
      </x:c>
      <x:c r="J18" s="10" t="n">
        <x:v>3</x:v>
      </x:c>
      <x:c r="K18" s="10" t="str">
        <x:v>紫穗与暖风；果实表皮独立资产</x:v>
      </x:c>
      <x:c r="L18" s="10" t="str">
        <x:v>新物种独立外观；沿用四槽/天气/金色繁育；无地区收益倍率</x:v>
      </x:c>
      <x:c r="M18" s="10" t="str">
        <x:v>待物种配置与模型/贴图制作</x:v>
      </x:c>
    </x:row>
    <x:row r="19" ht="48" customHeight="1">
      <x:c r="A19" s="9" t="str">
        <x:v>PL_07_A</x:v>
      </x:c>
      <x:c r="B19" s="9" t="str">
        <x:v>REG_07</x:v>
      </x:c>
      <x:c r="C19" s="9" t="str">
        <x:v>斑纹郁金香</x:v>
      </x:c>
      <x:c r="D19" s="9" t="str">
        <x:v>花卉</x:v>
      </x:c>
      <x:c r="E19" s="9" t="str">
        <x:v>首发</x:v>
      </x:c>
      <x:c r="F19" s="9" t="n">
        <x:v>20</x:v>
      </x:c>
      <x:c r="G19" s="9" t="n">
        <x:v>120</x:v>
      </x:c>
      <x:c r="H19" s="9" t="n">
        <x:v>92</x:v>
      </x:c>
      <x:c r="I19" s="9" t="n">
        <x:f>H19-F19</x:f>
        <x:v>72</x:v>
      </x:c>
      <x:c r="J19" s="9" t="n">
        <x:v>1</x:v>
      </x:c>
      <x:c r="K19" s="9" t="str">
        <x:v>风车与郁金香；花瓣轮廓独立资产</x:v>
      </x:c>
      <x:c r="L19" s="9" t="str">
        <x:v>新物种独立外观；沿用四槽/天气/金色繁育；无地区收益倍率</x:v>
      </x:c>
      <x:c r="M19" s="9" t="str">
        <x:v>待物种配置与模型/贴图制作</x:v>
      </x:c>
    </x:row>
    <x:row r="20" ht="48" customHeight="1">
      <x:c r="A20" s="10" t="str">
        <x:v>PL_07_B</x:v>
      </x:c>
      <x:c r="B20" s="10" t="str">
        <x:v>REG_07</x:v>
      </x:c>
      <x:c r="C20" s="10" t="str">
        <x:v>红醋栗</x:v>
      </x:c>
      <x:c r="D20" s="10" t="str">
        <x:v>果实</x:v>
      </x:c>
      <x:c r="E20" s="10" t="str">
        <x:v>首发</x:v>
      </x:c>
      <x:c r="F20" s="10" t="n">
        <x:v>54</x:v>
      </x:c>
      <x:c r="G20" s="10" t="n">
        <x:v>480</x:v>
      </x:c>
      <x:c r="H20" s="10" t="n">
        <x:v>220</x:v>
      </x:c>
      <x:c r="I20" s="10" t="n">
        <x:f>H20-F20</x:f>
        <x:v>166</x:v>
      </x:c>
      <x:c r="J20" s="10" t="n">
        <x:v>3</x:v>
      </x:c>
      <x:c r="K20" s="10" t="str">
        <x:v>风车与郁金香；果实表皮独立资产</x:v>
      </x:c>
      <x:c r="L20" s="10" t="str">
        <x:v>新物种独立外观；沿用四槽/天气/金色繁育；无地区收益倍率</x:v>
      </x:c>
      <x:c r="M20" s="10" t="str">
        <x:v>待物种配置与模型/贴图制作</x:v>
      </x:c>
    </x:row>
    <x:row r="21" ht="48" customHeight="1">
      <x:c r="A21" s="9" t="str">
        <x:v>PL_08_A</x:v>
      </x:c>
      <x:c r="B21" s="9" t="str">
        <x:v>REG_08</x:v>
      </x:c>
      <x:c r="C21" s="9" t="str">
        <x:v>雪绒花</x:v>
      </x:c>
      <x:c r="D21" s="9" t="str">
        <x:v>花卉</x:v>
      </x:c>
      <x:c r="E21" s="9" t="str">
        <x:v>首发</x:v>
      </x:c>
      <x:c r="F21" s="9" t="n">
        <x:v>20</x:v>
      </x:c>
      <x:c r="G21" s="9" t="n">
        <x:v>120</x:v>
      </x:c>
      <x:c r="H21" s="9" t="n">
        <x:v>92</x:v>
      </x:c>
      <x:c r="I21" s="9" t="n">
        <x:f>H21-F21</x:f>
        <x:v>72</x:v>
      </x:c>
      <x:c r="J21" s="9" t="n">
        <x:v>1</x:v>
      </x:c>
      <x:c r="K21" s="9" t="str">
        <x:v>松木与雪绒；花瓣轮廓独立资产</x:v>
      </x:c>
      <x:c r="L21" s="9" t="str">
        <x:v>新物种独立外观；沿用四槽/天气/金色繁育；无地区收益倍率</x:v>
      </x:c>
      <x:c r="M21" s="9" t="str">
        <x:v>待物种配置与模型/贴图制作</x:v>
      </x:c>
    </x:row>
    <x:row r="22" ht="48" customHeight="1">
      <x:c r="A22" s="10" t="str">
        <x:v>PL_08_B</x:v>
      </x:c>
      <x:c r="B22" s="10" t="str">
        <x:v>REG_08</x:v>
      </x:c>
      <x:c r="C22" s="10" t="str">
        <x:v>高山草莓</x:v>
      </x:c>
      <x:c r="D22" s="10" t="str">
        <x:v>果实</x:v>
      </x:c>
      <x:c r="E22" s="10" t="str">
        <x:v>首发</x:v>
      </x:c>
      <x:c r="F22" s="10" t="n">
        <x:v>54</x:v>
      </x:c>
      <x:c r="G22" s="10" t="n">
        <x:v>480</x:v>
      </x:c>
      <x:c r="H22" s="10" t="n">
        <x:v>220</x:v>
      </x:c>
      <x:c r="I22" s="10" t="n">
        <x:f>H22-F22</x:f>
        <x:v>166</x:v>
      </x:c>
      <x:c r="J22" s="10" t="n">
        <x:v>3</x:v>
      </x:c>
      <x:c r="K22" s="10" t="str">
        <x:v>松木与雪绒；果实表皮独立资产</x:v>
      </x:c>
      <x:c r="L22" s="10" t="str">
        <x:v>新物种独立外观；沿用四槽/天气/金色繁育；无地区收益倍率</x:v>
      </x:c>
      <x:c r="M22" s="10" t="str">
        <x:v>待物种配置与模型/贴图制作</x:v>
      </x:c>
    </x:row>
    <x:row r="23" ht="48" customHeight="1">
      <x:c r="A23" s="9" t="str">
        <x:v>PL_09_A</x:v>
      </x:c>
      <x:c r="B23" s="9" t="str">
        <x:v>REG_09</x:v>
      </x:c>
      <x:c r="C23" s="9" t="str">
        <x:v>三角梅</x:v>
      </x:c>
      <x:c r="D23" s="9" t="str">
        <x:v>花卉</x:v>
      </x:c>
      <x:c r="E23" s="9" t="str">
        <x:v>首发</x:v>
      </x:c>
      <x:c r="F23" s="9" t="n">
        <x:v>20</x:v>
      </x:c>
      <x:c r="G23" s="9" t="n">
        <x:v>120</x:v>
      </x:c>
      <x:c r="H23" s="9" t="n">
        <x:v>92</x:v>
      </x:c>
      <x:c r="I23" s="9" t="n">
        <x:f>H23-F23</x:f>
        <x:v>72</x:v>
      </x:c>
      <x:c r="J23" s="9" t="n">
        <x:v>1</x:v>
      </x:c>
      <x:c r="K23" s="9" t="str">
        <x:v>蓝白与浪花；花瓣轮廓独立资产</x:v>
      </x:c>
      <x:c r="L23" s="9" t="str">
        <x:v>新物种独立外观；沿用四槽/天气/金色繁育；无地区收益倍率</x:v>
      </x:c>
      <x:c r="M23" s="9" t="str">
        <x:v>待物种配置与模型/贴图制作</x:v>
      </x:c>
    </x:row>
    <x:row r="24" ht="48" customHeight="1">
      <x:c r="A24" s="10" t="str">
        <x:v>PL_09_B</x:v>
      </x:c>
      <x:c r="B24" s="10" t="str">
        <x:v>REG_09</x:v>
      </x:c>
      <x:c r="C24" s="10" t="str">
        <x:v>无花果</x:v>
      </x:c>
      <x:c r="D24" s="10" t="str">
        <x:v>果实</x:v>
      </x:c>
      <x:c r="E24" s="10" t="str">
        <x:v>首发</x:v>
      </x:c>
      <x:c r="F24" s="10" t="n">
        <x:v>54</x:v>
      </x:c>
      <x:c r="G24" s="10" t="n">
        <x:v>480</x:v>
      </x:c>
      <x:c r="H24" s="10" t="n">
        <x:v>220</x:v>
      </x:c>
      <x:c r="I24" s="10" t="n">
        <x:f>H24-F24</x:f>
        <x:v>166</x:v>
      </x:c>
      <x:c r="J24" s="10" t="n">
        <x:v>3</x:v>
      </x:c>
      <x:c r="K24" s="10" t="str">
        <x:v>蓝白与浪花；果实表皮独立资产</x:v>
      </x:c>
      <x:c r="L24" s="10" t="str">
        <x:v>新物种独立外观；沿用四槽/天气/金色繁育；无地区收益倍率</x:v>
      </x:c>
      <x:c r="M24" s="10" t="str">
        <x:v>待物种配置与模型/贴图制作</x:v>
      </x:c>
    </x:row>
    <x:row r="25" ht="48" customHeight="1">
      <x:c r="A25" s="9" t="str">
        <x:v>PL_10_A</x:v>
      </x:c>
      <x:c r="B25" s="9" t="str">
        <x:v>REG_10</x:v>
      </x:c>
      <x:c r="C25" s="9" t="str">
        <x:v>鸡蛋花</x:v>
      </x:c>
      <x:c r="D25" s="9" t="str">
        <x:v>花卉</x:v>
      </x:c>
      <x:c r="E25" s="9" t="str">
        <x:v>首发</x:v>
      </x:c>
      <x:c r="F25" s="9" t="n">
        <x:v>20</x:v>
      </x:c>
      <x:c r="G25" s="9" t="n">
        <x:v>120</x:v>
      </x:c>
      <x:c r="H25" s="9" t="n">
        <x:v>92</x:v>
      </x:c>
      <x:c r="I25" s="9" t="n">
        <x:f>H25-F25</x:f>
        <x:v>72</x:v>
      </x:c>
      <x:c r="J25" s="9" t="n">
        <x:v>1</x:v>
      </x:c>
      <x:c r="K25" s="9" t="str">
        <x:v>藤编与雨滴；花瓣轮廓独立资产</x:v>
      </x:c>
      <x:c r="L25" s="9" t="str">
        <x:v>新物种独立外观；沿用四槽/天气/金色繁育；无地区收益倍率</x:v>
      </x:c>
      <x:c r="M25" s="9" t="str">
        <x:v>待物种配置与模型/贴图制作</x:v>
      </x:c>
    </x:row>
    <x:row r="26" ht="48" customHeight="1">
      <x:c r="A26" s="10" t="str">
        <x:v>PL_10_B</x:v>
      </x:c>
      <x:c r="B26" s="10" t="str">
        <x:v>REG_10</x:v>
      </x:c>
      <x:c r="C26" s="10" t="str">
        <x:v>山竹</x:v>
      </x:c>
      <x:c r="D26" s="10" t="str">
        <x:v>果实</x:v>
      </x:c>
      <x:c r="E26" s="10" t="str">
        <x:v>首发</x:v>
      </x:c>
      <x:c r="F26" s="10" t="n">
        <x:v>54</x:v>
      </x:c>
      <x:c r="G26" s="10" t="n">
        <x:v>480</x:v>
      </x:c>
      <x:c r="H26" s="10" t="n">
        <x:v>220</x:v>
      </x:c>
      <x:c r="I26" s="10" t="n">
        <x:f>H26-F26</x:f>
        <x:v>166</x:v>
      </x:c>
      <x:c r="J26" s="10" t="n">
        <x:v>3</x:v>
      </x:c>
      <x:c r="K26" s="10" t="str">
        <x:v>藤编与雨滴；果实表皮独立资产</x:v>
      </x:c>
      <x:c r="L26" s="10" t="str">
        <x:v>新物种独立外观；沿用四槽/天气/金色繁育；无地区收益倍率</x:v>
      </x:c>
      <x:c r="M26" s="10" t="str">
        <x:v>待物种配置与模型/贴图制作</x:v>
      </x:c>
    </x:row>
    <x:row r="27" ht="48" customHeight="1">
      <x:c r="A27" s="9" t="str">
        <x:v>PL_11_A</x:v>
      </x:c>
      <x:c r="B27" s="9" t="str">
        <x:v>REG_11</x:v>
      </x:c>
      <x:c r="C27" s="9" t="str">
        <x:v>沙漠玫瑰</x:v>
      </x:c>
      <x:c r="D27" s="9" t="str">
        <x:v>花卉</x:v>
      </x:c>
      <x:c r="E27" s="9" t="str">
        <x:v>首发</x:v>
      </x:c>
      <x:c r="F27" s="9" t="n">
        <x:v>20</x:v>
      </x:c>
      <x:c r="G27" s="9" t="n">
        <x:v>120</x:v>
      </x:c>
      <x:c r="H27" s="9" t="n">
        <x:v>92</x:v>
      </x:c>
      <x:c r="I27" s="9" t="n">
        <x:f>H27-F27</x:f>
        <x:v>72</x:v>
      </x:c>
      <x:c r="J27" s="9" t="n">
        <x:v>1</x:v>
      </x:c>
      <x:c r="K27" s="9" t="str">
        <x:v>拱门与铜纹；花瓣轮廓独立资产</x:v>
      </x:c>
      <x:c r="L27" s="9" t="str">
        <x:v>新物种独立外观；沿用四槽/天气/金色繁育；无地区收益倍率</x:v>
      </x:c>
      <x:c r="M27" s="9" t="str">
        <x:v>待物种配置与模型/贴图制作</x:v>
      </x:c>
    </x:row>
    <x:row r="28" ht="48" customHeight="1">
      <x:c r="A28" s="10" t="str">
        <x:v>PL_11_B</x:v>
      </x:c>
      <x:c r="B28" s="10" t="str">
        <x:v>REG_11</x:v>
      </x:c>
      <x:c r="C28" s="10" t="str">
        <x:v>椰枣</x:v>
      </x:c>
      <x:c r="D28" s="10" t="str">
        <x:v>果实</x:v>
      </x:c>
      <x:c r="E28" s="10" t="str">
        <x:v>首发</x:v>
      </x:c>
      <x:c r="F28" s="10" t="n">
        <x:v>54</x:v>
      </x:c>
      <x:c r="G28" s="10" t="n">
        <x:v>480</x:v>
      </x:c>
      <x:c r="H28" s="10" t="n">
        <x:v>220</x:v>
      </x:c>
      <x:c r="I28" s="10" t="n">
        <x:f>H28-F28</x:f>
        <x:v>166</x:v>
      </x:c>
      <x:c r="J28" s="10" t="n">
        <x:v>3</x:v>
      </x:c>
      <x:c r="K28" s="10" t="str">
        <x:v>拱门与铜纹；果实表皮独立资产</x:v>
      </x:c>
      <x:c r="L28" s="10" t="str">
        <x:v>新物种独立外观；沿用四槽/天气/金色繁育；无地区收益倍率</x:v>
      </x:c>
      <x:c r="M28" s="10" t="str">
        <x:v>待物种配置与模型/贴图制作</x:v>
      </x:c>
    </x:row>
    <x:row r="29" ht="48" customHeight="1">
      <x:c r="A29" s="9" t="str">
        <x:v>PL_12_A</x:v>
      </x:c>
      <x:c r="B29" s="9" t="str">
        <x:v>REG_12</x:v>
      </x:c>
      <x:c r="C29" s="9" t="str">
        <x:v>冰岛罂粟</x:v>
      </x:c>
      <x:c r="D29" s="9" t="str">
        <x:v>花卉</x:v>
      </x:c>
      <x:c r="E29" s="9" t="str">
        <x:v>首发</x:v>
      </x:c>
      <x:c r="F29" s="9" t="n">
        <x:v>20</x:v>
      </x:c>
      <x:c r="G29" s="9" t="n">
        <x:v>120</x:v>
      </x:c>
      <x:c r="H29" s="9" t="n">
        <x:v>92</x:v>
      </x:c>
      <x:c r="I29" s="9" t="n">
        <x:f>H29-F29</x:f>
        <x:v>72</x:v>
      </x:c>
      <x:c r="J29" s="9" t="n">
        <x:v>1</x:v>
      </x:c>
      <x:c r="K29" s="9" t="str">
        <x:v>极光与黑岩；花瓣轮廓独立资产</x:v>
      </x:c>
      <x:c r="L29" s="9" t="str">
        <x:v>新物种独立外观；沿用四槽/天气/金色繁育；无地区收益倍率</x:v>
      </x:c>
      <x:c r="M29" s="9" t="str">
        <x:v>待物种配置与模型/贴图制作</x:v>
      </x:c>
    </x:row>
    <x:row r="30" ht="48" customHeight="1">
      <x:c r="A30" s="10" t="str">
        <x:v>PL_12_B</x:v>
      </x:c>
      <x:c r="B30" s="10" t="str">
        <x:v>REG_12</x:v>
      </x:c>
      <x:c r="C30" s="10" t="str">
        <x:v>岩莓</x:v>
      </x:c>
      <x:c r="D30" s="10" t="str">
        <x:v>果实</x:v>
      </x:c>
      <x:c r="E30" s="10" t="str">
        <x:v>首发</x:v>
      </x:c>
      <x:c r="F30" s="10" t="n">
        <x:v>54</x:v>
      </x:c>
      <x:c r="G30" s="10" t="n">
        <x:v>480</x:v>
      </x:c>
      <x:c r="H30" s="10" t="n">
        <x:v>220</x:v>
      </x:c>
      <x:c r="I30" s="10" t="n">
        <x:f>H30-F30</x:f>
        <x:v>166</x:v>
      </x:c>
      <x:c r="J30" s="10" t="n">
        <x:v>3</x:v>
      </x:c>
      <x:c r="K30" s="10" t="str">
        <x:v>极光与黑岩；果实表皮独立资产</x:v>
      </x:c>
      <x:c r="L30" s="10" t="str">
        <x:v>新物种独立外观；沿用四槽/天气/金色繁育；无地区收益倍率</x:v>
      </x:c>
      <x:c r="M30" s="10" t="str">
        <x:v>待物种配置与模型/贴图制作</x:v>
      </x:c>
    </x:row>
    <x:row r="31" ht="48" customHeight="1">
      <x:c r="A31" s="9" t="str">
        <x:v>PL_13_A</x:v>
      </x:c>
      <x:c r="B31" s="9" t="str">
        <x:v>REG_13</x:v>
      </x:c>
      <x:c r="C31" s="9" t="str">
        <x:v>龙胆</x:v>
      </x:c>
      <x:c r="D31" s="9" t="str">
        <x:v>花卉</x:v>
      </x:c>
      <x:c r="E31" s="9" t="str">
        <x:v>M2</x:v>
      </x:c>
      <x:c r="F31" s="9" t="n">
        <x:v>20</x:v>
      </x:c>
      <x:c r="G31" s="9" t="n">
        <x:v>120</x:v>
      </x:c>
      <x:c r="H31" s="9" t="n">
        <x:v>92</x:v>
      </x:c>
      <x:c r="I31" s="9" t="n">
        <x:f>H31-F31</x:f>
        <x:v>72</x:v>
      </x:c>
      <x:c r="J31" s="9" t="n">
        <x:v>1</x:v>
      </x:c>
      <x:c r="K31" s="9" t="str">
        <x:v>风铃与扎染；花瓣轮廓独立资产</x:v>
      </x:c>
      <x:c r="L31" s="9" t="str">
        <x:v>新物种独立外观；沿用四槽/天气/金色繁育；无地区收益倍率</x:v>
      </x:c>
      <x:c r="M31" s="9" t="str">
        <x:v>待物种配置与模型/贴图制作</x:v>
      </x:c>
    </x:row>
    <x:row r="32" ht="48" customHeight="1">
      <x:c r="A32" s="10" t="str">
        <x:v>PL_13_B</x:v>
      </x:c>
      <x:c r="B32" s="10" t="str">
        <x:v>REG_13</x:v>
      </x:c>
      <x:c r="C32" s="10" t="str">
        <x:v>石榴</x:v>
      </x:c>
      <x:c r="D32" s="10" t="str">
        <x:v>果实</x:v>
      </x:c>
      <x:c r="E32" s="10" t="str">
        <x:v>M2</x:v>
      </x:c>
      <x:c r="F32" s="10" t="n">
        <x:v>54</x:v>
      </x:c>
      <x:c r="G32" s="10" t="n">
        <x:v>480</x:v>
      </x:c>
      <x:c r="H32" s="10" t="n">
        <x:v>220</x:v>
      </x:c>
      <x:c r="I32" s="10" t="n">
        <x:f>H32-F32</x:f>
        <x:v>166</x:v>
      </x:c>
      <x:c r="J32" s="10" t="n">
        <x:v>3</x:v>
      </x:c>
      <x:c r="K32" s="10" t="str">
        <x:v>风铃与扎染；果实表皮独立资产</x:v>
      </x:c>
      <x:c r="L32" s="10" t="str">
        <x:v>新物种独立外观；沿用四槽/天气/金色繁育；无地区收益倍率</x:v>
      </x:c>
      <x:c r="M32" s="10" t="str">
        <x:v>待物种配置与模型/贴图制作</x:v>
      </x:c>
    </x:row>
    <x:row r="33" ht="48" customHeight="1">
      <x:c r="A33" s="9" t="str">
        <x:v>PL_14_A</x:v>
      </x:c>
      <x:c r="B33" s="9" t="str">
        <x:v>REG_14</x:v>
      </x:c>
      <x:c r="C33" s="9" t="str">
        <x:v>蝴蝶兰</x:v>
      </x:c>
      <x:c r="D33" s="9" t="str">
        <x:v>花卉</x:v>
      </x:c>
      <x:c r="E33" s="9" t="str">
        <x:v>M2</x:v>
      </x:c>
      <x:c r="F33" s="9" t="n">
        <x:v>20</x:v>
      </x:c>
      <x:c r="G33" s="9" t="n">
        <x:v>120</x:v>
      </x:c>
      <x:c r="H33" s="9" t="n">
        <x:v>92</x:v>
      </x:c>
      <x:c r="I33" s="9" t="n">
        <x:f>H33-F33</x:f>
        <x:v>72</x:v>
      </x:c>
      <x:c r="J33" s="9" t="n">
        <x:v>1</x:v>
      </x:c>
      <x:c r="K33" s="9" t="str">
        <x:v>玻璃与兰花；花瓣轮廓独立资产</x:v>
      </x:c>
      <x:c r="L33" s="9" t="str">
        <x:v>新物种独立外观；沿用四槽/天气/金色繁育；无地区收益倍率</x:v>
      </x:c>
      <x:c r="M33" s="9" t="str">
        <x:v>待物种配置与模型/贴图制作</x:v>
      </x:c>
    </x:row>
    <x:row r="34" ht="48" customHeight="1">
      <x:c r="A34" s="10" t="str">
        <x:v>PL_14_B</x:v>
      </x:c>
      <x:c r="B34" s="10" t="str">
        <x:v>REG_14</x:v>
      </x:c>
      <x:c r="C34" s="10" t="str">
        <x:v>红毛丹</x:v>
      </x:c>
      <x:c r="D34" s="10" t="str">
        <x:v>果实</x:v>
      </x:c>
      <x:c r="E34" s="10" t="str">
        <x:v>M2</x:v>
      </x:c>
      <x:c r="F34" s="10" t="n">
        <x:v>54</x:v>
      </x:c>
      <x:c r="G34" s="10" t="n">
        <x:v>480</x:v>
      </x:c>
      <x:c r="H34" s="10" t="n">
        <x:v>220</x:v>
      </x:c>
      <x:c r="I34" s="10" t="n">
        <x:f>H34-F34</x:f>
        <x:v>166</x:v>
      </x:c>
      <x:c r="J34" s="10" t="n">
        <x:v>3</x:v>
      </x:c>
      <x:c r="K34" s="10" t="str">
        <x:v>玻璃与兰花；果实表皮独立资产</x:v>
      </x:c>
      <x:c r="L34" s="10" t="str">
        <x:v>新物种独立外观；沿用四槽/天气/金色繁育；无地区收益倍率</x:v>
      </x:c>
      <x:c r="M34" s="10" t="str">
        <x:v>待物种配置与模型/贴图制作</x:v>
      </x:c>
    </x:row>
    <x:row r="35" ht="48" customHeight="1">
      <x:c r="A35" s="9" t="str">
        <x:v>PL_15_A</x:v>
      </x:c>
      <x:c r="B35" s="9" t="str">
        <x:v>REG_15</x:v>
      </x:c>
      <x:c r="C35" s="9" t="str">
        <x:v>夹竹桃</x:v>
      </x:c>
      <x:c r="D35" s="9" t="str">
        <x:v>花卉</x:v>
      </x:c>
      <x:c r="E35" s="9" t="str">
        <x:v>M2</x:v>
      </x:c>
      <x:c r="F35" s="9" t="n">
        <x:v>20</x:v>
      </x:c>
      <x:c r="G35" s="9" t="n">
        <x:v>120</x:v>
      </x:c>
      <x:c r="H35" s="9" t="n">
        <x:v>92</x:v>
      </x:c>
      <x:c r="I35" s="9" t="n">
        <x:f>H35-F35</x:f>
        <x:v>72</x:v>
      </x:c>
      <x:c r="J35" s="9" t="n">
        <x:v>1</x:v>
      </x:c>
      <x:c r="K35" s="9" t="str">
        <x:v>彩玻璃与水巷；花瓣轮廓独立资产</x:v>
      </x:c>
      <x:c r="L35" s="9" t="str">
        <x:v>新物种独立外观；沿用四槽/天气/金色繁育；无地区收益倍率</x:v>
      </x:c>
      <x:c r="M35" s="9" t="str">
        <x:v>待物种配置与模型/贴图制作</x:v>
      </x:c>
    </x:row>
    <x:row r="36" ht="48" customHeight="1">
      <x:c r="A36" s="10" t="str">
        <x:v>PL_15_B</x:v>
      </x:c>
      <x:c r="B36" s="10" t="str">
        <x:v>REG_15</x:v>
      </x:c>
      <x:c r="C36" s="10" t="str">
        <x:v>葡萄</x:v>
      </x:c>
      <x:c r="D36" s="10" t="str">
        <x:v>果实</x:v>
      </x:c>
      <x:c r="E36" s="10" t="str">
        <x:v>M2</x:v>
      </x:c>
      <x:c r="F36" s="10" t="n">
        <x:v>54</x:v>
      </x:c>
      <x:c r="G36" s="10" t="n">
        <x:v>480</x:v>
      </x:c>
      <x:c r="H36" s="10" t="n">
        <x:v>220</x:v>
      </x:c>
      <x:c r="I36" s="10" t="n">
        <x:f>H36-F36</x:f>
        <x:v>166</x:v>
      </x:c>
      <x:c r="J36" s="10" t="n">
        <x:v>3</x:v>
      </x:c>
      <x:c r="K36" s="10" t="str">
        <x:v>彩玻璃与水巷；果实表皮独立资产</x:v>
      </x:c>
      <x:c r="L36" s="10" t="str">
        <x:v>新物种独立外观；沿用四槽/天气/金色繁育；无地区收益倍率</x:v>
      </x:c>
      <x:c r="M36" s="10" t="str">
        <x:v>待物种配置与模型/贴图制作</x:v>
      </x:c>
    </x:row>
    <x:row r="37" ht="48" customHeight="1">
      <x:c r="A37" s="9" t="str">
        <x:v>PL_16_A</x:v>
      </x:c>
      <x:c r="B37" s="9" t="str">
        <x:v>REG_16</x:v>
      </x:c>
      <x:c r="C37" s="9" t="str">
        <x:v>帝王花</x:v>
      </x:c>
      <x:c r="D37" s="9" t="str">
        <x:v>花卉</x:v>
      </x:c>
      <x:c r="E37" s="9" t="str">
        <x:v>M2</x:v>
      </x:c>
      <x:c r="F37" s="9" t="n">
        <x:v>20</x:v>
      </x:c>
      <x:c r="G37" s="9" t="n">
        <x:v>120</x:v>
      </x:c>
      <x:c r="H37" s="9" t="n">
        <x:v>92</x:v>
      </x:c>
      <x:c r="I37" s="9" t="n">
        <x:f>H37-F37</x:f>
        <x:v>72</x:v>
      </x:c>
      <x:c r="J37" s="9" t="n">
        <x:v>1</x:v>
      </x:c>
      <x:c r="K37" s="9" t="str">
        <x:v>帝王花与海风；花瓣轮廓独立资产</x:v>
      </x:c>
      <x:c r="L37" s="9" t="str">
        <x:v>新物种独立外观；沿用四槽/天气/金色繁育；无地区收益倍率</x:v>
      </x:c>
      <x:c r="M37" s="9" t="str">
        <x:v>待物种配置与模型/贴图制作</x:v>
      </x:c>
    </x:row>
    <x:row r="38" ht="48" customHeight="1">
      <x:c r="A38" s="10" t="str">
        <x:v>PL_16_B</x:v>
      </x:c>
      <x:c r="B38" s="10" t="str">
        <x:v>REG_16</x:v>
      </x:c>
      <x:c r="C38" s="10" t="str">
        <x:v>开普醋栗</x:v>
      </x:c>
      <x:c r="D38" s="10" t="str">
        <x:v>果实</x:v>
      </x:c>
      <x:c r="E38" s="10" t="str">
        <x:v>M2</x:v>
      </x:c>
      <x:c r="F38" s="10" t="n">
        <x:v>54</x:v>
      </x:c>
      <x:c r="G38" s="10" t="n">
        <x:v>480</x:v>
      </x:c>
      <x:c r="H38" s="10" t="n">
        <x:v>220</x:v>
      </x:c>
      <x:c r="I38" s="10" t="n">
        <x:f>H38-F38</x:f>
        <x:v>166</x:v>
      </x:c>
      <x:c r="J38" s="10" t="n">
        <x:v>3</x:v>
      </x:c>
      <x:c r="K38" s="10" t="str">
        <x:v>帝王花与海风；果实表皮独立资产</x:v>
      </x:c>
      <x:c r="L38" s="10" t="str">
        <x:v>新物种独立外观；沿用四槽/天气/金色繁育；无地区收益倍率</x:v>
      </x:c>
      <x:c r="M38" s="10" t="str">
        <x:v>待物种配置与模型/贴图制作</x:v>
      </x:c>
    </x:row>
    <x:row r="39" ht="48" customHeight="1">
      <x:c r="A39" s="9" t="str">
        <x:v>PL_17_A</x:v>
      </x:c>
      <x:c r="B39" s="9" t="str">
        <x:v>REG_17</x:v>
      </x:c>
      <x:c r="C39" s="9" t="str">
        <x:v>蓝花楹</x:v>
      </x:c>
      <x:c r="D39" s="9" t="str">
        <x:v>花卉</x:v>
      </x:c>
      <x:c r="E39" s="9" t="str">
        <x:v>M3</x:v>
      </x:c>
      <x:c r="F39" s="9" t="n">
        <x:v>20</x:v>
      </x:c>
      <x:c r="G39" s="9" t="n">
        <x:v>120</x:v>
      </x:c>
      <x:c r="H39" s="9" t="n">
        <x:v>92</x:v>
      </x:c>
      <x:c r="I39" s="9" t="n">
        <x:f>H39-F39</x:f>
        <x:v>72</x:v>
      </x:c>
      <x:c r="J39" s="9" t="n">
        <x:v>1</x:v>
      </x:c>
      <x:c r="K39" s="9" t="str">
        <x:v>蓝瓷与暖阳；花瓣轮廓独立资产</x:v>
      </x:c>
      <x:c r="L39" s="9" t="str">
        <x:v>新物种独立外观；沿用四槽/天气/金色繁育；无地区收益倍率</x:v>
      </x:c>
      <x:c r="M39" s="9" t="str">
        <x:v>待物种配置与模型/贴图制作</x:v>
      </x:c>
    </x:row>
    <x:row r="40" ht="48" customHeight="1">
      <x:c r="A40" s="10" t="str">
        <x:v>PL_17_B</x:v>
      </x:c>
      <x:c r="B40" s="10" t="str">
        <x:v>REG_17</x:v>
      </x:c>
      <x:c r="C40" s="10" t="str">
        <x:v>甜橙</x:v>
      </x:c>
      <x:c r="D40" s="10" t="str">
        <x:v>果实</x:v>
      </x:c>
      <x:c r="E40" s="10" t="str">
        <x:v>M3</x:v>
      </x:c>
      <x:c r="F40" s="10" t="n">
        <x:v>54</x:v>
      </x:c>
      <x:c r="G40" s="10" t="n">
        <x:v>480</x:v>
      </x:c>
      <x:c r="H40" s="10" t="n">
        <x:v>220</x:v>
      </x:c>
      <x:c r="I40" s="10" t="n">
        <x:f>H40-F40</x:f>
        <x:v>166</x:v>
      </x:c>
      <x:c r="J40" s="10" t="n">
        <x:v>3</x:v>
      </x:c>
      <x:c r="K40" s="10" t="str">
        <x:v>蓝瓷与暖阳；果实表皮独立资产</x:v>
      </x:c>
      <x:c r="L40" s="10" t="str">
        <x:v>新物种独立外观；沿用四槽/天气/金色繁育；无地区收益倍率</x:v>
      </x:c>
      <x:c r="M40" s="10" t="str">
        <x:v>待物种配置与模型/贴图制作</x:v>
      </x:c>
    </x:row>
    <x:row r="41" ht="48" customHeight="1">
      <x:c r="A41" s="9" t="str">
        <x:v>PL_18_A</x:v>
      </x:c>
      <x:c r="B41" s="9" t="str">
        <x:v>REG_18</x:v>
      </x:c>
      <x:c r="C41" s="9" t="str">
        <x:v>羽扇豆</x:v>
      </x:c>
      <x:c r="D41" s="9" t="str">
        <x:v>花卉</x:v>
      </x:c>
      <x:c r="E41" s="9" t="str">
        <x:v>M3</x:v>
      </x:c>
      <x:c r="F41" s="9" t="n">
        <x:v>20</x:v>
      </x:c>
      <x:c r="G41" s="9" t="n">
        <x:v>120</x:v>
      </x:c>
      <x:c r="H41" s="9" t="n">
        <x:v>92</x:v>
      </x:c>
      <x:c r="I41" s="9" t="n">
        <x:f>H41-F41</x:f>
        <x:v>72</x:v>
      </x:c>
      <x:c r="J41" s="9" t="n">
        <x:v>1</x:v>
      </x:c>
      <x:c r="K41" s="9" t="str">
        <x:v>峡湾与冷杉；花瓣轮廓独立资产</x:v>
      </x:c>
      <x:c r="L41" s="9" t="str">
        <x:v>新物种独立外观；沿用四槽/天气/金色繁育；无地区收益倍率</x:v>
      </x:c>
      <x:c r="M41" s="9" t="str">
        <x:v>待物种配置与模型/贴图制作</x:v>
      </x:c>
    </x:row>
    <x:row r="42" ht="48" customHeight="1">
      <x:c r="A42" s="10" t="str">
        <x:v>PL_18_B</x:v>
      </x:c>
      <x:c r="B42" s="10" t="str">
        <x:v>REG_18</x:v>
      </x:c>
      <x:c r="C42" s="10" t="str">
        <x:v>云莓</x:v>
      </x:c>
      <x:c r="D42" s="10" t="str">
        <x:v>果实</x:v>
      </x:c>
      <x:c r="E42" s="10" t="str">
        <x:v>M3</x:v>
      </x:c>
      <x:c r="F42" s="10" t="n">
        <x:v>54</x:v>
      </x:c>
      <x:c r="G42" s="10" t="n">
        <x:v>480</x:v>
      </x:c>
      <x:c r="H42" s="10" t="n">
        <x:v>220</x:v>
      </x:c>
      <x:c r="I42" s="10" t="n">
        <x:f>H42-F42</x:f>
        <x:v>166</x:v>
      </x:c>
      <x:c r="J42" s="10" t="n">
        <x:v>3</x:v>
      </x:c>
      <x:c r="K42" s="10" t="str">
        <x:v>峡湾与冷杉；果实表皮独立资产</x:v>
      </x:c>
      <x:c r="L42" s="10" t="str">
        <x:v>新物种独立外观；沿用四槽/天气/金色繁育；无地区收益倍率</x:v>
      </x:c>
      <x:c r="M42" s="10" t="str">
        <x:v>待物种配置与模型/贴图制作</x:v>
      </x:c>
    </x:row>
    <x:row r="43" ht="48" customHeight="1">
      <x:c r="A43" s="9" t="str">
        <x:v>PL_19_A</x:v>
      </x:c>
      <x:c r="B43" s="9" t="str">
        <x:v>REG_19</x:v>
      </x:c>
      <x:c r="C43" s="9" t="str">
        <x:v>万寿菊</x:v>
      </x:c>
      <x:c r="D43" s="9" t="str">
        <x:v>花卉</x:v>
      </x:c>
      <x:c r="E43" s="9" t="str">
        <x:v>M3</x:v>
      </x:c>
      <x:c r="F43" s="9" t="n">
        <x:v>20</x:v>
      </x:c>
      <x:c r="G43" s="9" t="n">
        <x:v>120</x:v>
      </x:c>
      <x:c r="H43" s="9" t="n">
        <x:v>92</x:v>
      </x:c>
      <x:c r="I43" s="9" t="n">
        <x:f>H43-F43</x:f>
        <x:v>72</x:v>
      </x:c>
      <x:c r="J43" s="9" t="n">
        <x:v>1</x:v>
      </x:c>
      <x:c r="K43" s="9" t="str">
        <x:v>剪纸与万寿菊；花瓣轮廓独立资产</x:v>
      </x:c>
      <x:c r="L43" s="9" t="str">
        <x:v>新物种独立外观；沿用四槽/天气/金色繁育；无地区收益倍率</x:v>
      </x:c>
      <x:c r="M43" s="9" t="str">
        <x:v>待物种配置与模型/贴图制作</x:v>
      </x:c>
    </x:row>
    <x:row r="44" ht="48" customHeight="1">
      <x:c r="A44" s="10" t="str">
        <x:v>PL_19_B</x:v>
      </x:c>
      <x:c r="B44" s="10" t="str">
        <x:v>REG_19</x:v>
      </x:c>
      <x:c r="C44" s="10" t="str">
        <x:v>番石榴</x:v>
      </x:c>
      <x:c r="D44" s="10" t="str">
        <x:v>果实</x:v>
      </x:c>
      <x:c r="E44" s="10" t="str">
        <x:v>M3</x:v>
      </x:c>
      <x:c r="F44" s="10" t="n">
        <x:v>54</x:v>
      </x:c>
      <x:c r="G44" s="10" t="n">
        <x:v>480</x:v>
      </x:c>
      <x:c r="H44" s="10" t="n">
        <x:v>220</x:v>
      </x:c>
      <x:c r="I44" s="10" t="n">
        <x:f>H44-F44</x:f>
        <x:v>166</x:v>
      </x:c>
      <x:c r="J44" s="10" t="n">
        <x:v>3</x:v>
      </x:c>
      <x:c r="K44" s="10" t="str">
        <x:v>剪纸与万寿菊；果实表皮独立资产</x:v>
      </x:c>
      <x:c r="L44" s="10" t="str">
        <x:v>新物种独立外观；沿用四槽/天气/金色繁育；无地区收益倍率</x:v>
      </x:c>
      <x:c r="M44" s="10" t="str">
        <x:v>待物种配置与模型/贴图制作</x:v>
      </x:c>
    </x:row>
    <x:row r="45" ht="48" customHeight="1">
      <x:c r="A45" s="9" t="str">
        <x:v>PL_20_A</x:v>
      </x:c>
      <x:c r="B45" s="9" t="str">
        <x:v>REG_20</x:v>
      </x:c>
      <x:c r="C45" s="9" t="str">
        <x:v>银蕨</x:v>
      </x:c>
      <x:c r="D45" s="9" t="str">
        <x:v>花卉</x:v>
      </x:c>
      <x:c r="E45" s="9" t="str">
        <x:v>M3</x:v>
      </x:c>
      <x:c r="F45" s="9" t="n">
        <x:v>20</x:v>
      </x:c>
      <x:c r="G45" s="9" t="n">
        <x:v>120</x:v>
      </x:c>
      <x:c r="H45" s="9" t="n">
        <x:v>92</x:v>
      </x:c>
      <x:c r="I45" s="9" t="n">
        <x:f>H45-F45</x:f>
        <x:v>72</x:v>
      </x:c>
      <x:c r="J45" s="9" t="n">
        <x:v>1</x:v>
      </x:c>
      <x:c r="K45" s="9" t="str">
        <x:v>银蕨与湖光；花瓣轮廓独立资产</x:v>
      </x:c>
      <x:c r="L45" s="9" t="str">
        <x:v>新物种独立外观；沿用四槽/天气/金色繁育；无地区收益倍率</x:v>
      </x:c>
      <x:c r="M45" s="9" t="str">
        <x:v>待物种配置与模型/贴图制作</x:v>
      </x:c>
    </x:row>
    <x:row r="46" ht="48" customHeight="1">
      <x:c r="A46" s="10" t="str">
        <x:v>PL_20_B</x:v>
      </x:c>
      <x:c r="B46" s="10" t="str">
        <x:v>REG_20</x:v>
      </x:c>
      <x:c r="C46" s="10" t="str">
        <x:v>奇异果</x:v>
      </x:c>
      <x:c r="D46" s="10" t="str">
        <x:v>果实</x:v>
      </x:c>
      <x:c r="E46" s="10" t="str">
        <x:v>M3</x:v>
      </x:c>
      <x:c r="F46" s="10" t="n">
        <x:v>54</x:v>
      </x:c>
      <x:c r="G46" s="10" t="n">
        <x:v>480</x:v>
      </x:c>
      <x:c r="H46" s="10" t="n">
        <x:v>220</x:v>
      </x:c>
      <x:c r="I46" s="10" t="n">
        <x:f>H46-F46</x:f>
        <x:v>166</x:v>
      </x:c>
      <x:c r="J46" s="10" t="n">
        <x:v>3</x:v>
      </x:c>
      <x:c r="K46" s="10" t="str">
        <x:v>银蕨与湖光；果实表皮独立资产</x:v>
      </x:c>
      <x:c r="L46" s="10" t="str">
        <x:v>新物种独立外观；沿用四槽/天气/金色繁育；无地区收益倍率</x:v>
      </x:c>
      <x:c r="M46" s="10" t="str">
        <x:v>待物种配置与模型/贴图制作</x:v>
      </x:c>
    </x:row>
    <x:row r="47" ht="48" customHeight="1">
      <x:c r="A47" s="9" t="str">
        <x:v>PL_21_A</x:v>
      </x:c>
      <x:c r="B47" s="9" t="str">
        <x:v>REG_21</x:v>
      </x:c>
      <x:c r="C47" s="9" t="str">
        <x:v>风信子</x:v>
      </x:c>
      <x:c r="D47" s="9" t="str">
        <x:v>花卉</x:v>
      </x:c>
      <x:c r="E47" s="9" t="str">
        <x:v>M4</x:v>
      </x:c>
      <x:c r="F47" s="9" t="n">
        <x:v>20</x:v>
      </x:c>
      <x:c r="G47" s="9" t="n">
        <x:v>120</x:v>
      </x:c>
      <x:c r="H47" s="9" t="n">
        <x:v>92</x:v>
      </x:c>
      <x:c r="I47" s="9" t="n">
        <x:f>H47-F47</x:f>
        <x:v>72</x:v>
      </x:c>
      <x:c r="J47" s="9" t="n">
        <x:v>1</x:v>
      </x:c>
      <x:c r="K47" s="9" t="str">
        <x:v>彩灯与郁金纹；花瓣轮廓独立资产</x:v>
      </x:c>
      <x:c r="L47" s="9" t="str">
        <x:v>新物种独立外观；沿用四槽/天气/金色繁育；无地区收益倍率</x:v>
      </x:c>
      <x:c r="M47" s="9" t="str">
        <x:v>待物种配置与模型/贴图制作</x:v>
      </x:c>
    </x:row>
    <x:row r="48" ht="48" customHeight="1">
      <x:c r="A48" s="10" t="str">
        <x:v>PL_21_B</x:v>
      </x:c>
      <x:c r="B48" s="10" t="str">
        <x:v>REG_21</x:v>
      </x:c>
      <x:c r="C48" s="10" t="str">
        <x:v>桑葚</x:v>
      </x:c>
      <x:c r="D48" s="10" t="str">
        <x:v>果实</x:v>
      </x:c>
      <x:c r="E48" s="10" t="str">
        <x:v>M4</x:v>
      </x:c>
      <x:c r="F48" s="10" t="n">
        <x:v>54</x:v>
      </x:c>
      <x:c r="G48" s="10" t="n">
        <x:v>480</x:v>
      </x:c>
      <x:c r="H48" s="10" t="n">
        <x:v>220</x:v>
      </x:c>
      <x:c r="I48" s="10" t="n">
        <x:f>H48-F48</x:f>
        <x:v>166</x:v>
      </x:c>
      <x:c r="J48" s="10" t="n">
        <x:v>3</x:v>
      </x:c>
      <x:c r="K48" s="10" t="str">
        <x:v>彩灯与郁金纹；果实表皮独立资产</x:v>
      </x:c>
      <x:c r="L48" s="10" t="str">
        <x:v>新物种独立外观；沿用四槽/天气/金色繁育；无地区收益倍率</x:v>
      </x:c>
      <x:c r="M48" s="10" t="str">
        <x:v>待物种配置与模型/贴图制作</x:v>
      </x:c>
    </x:row>
    <x:row r="49" ht="48" customHeight="1">
      <x:c r="A49" s="9" t="str">
        <x:v>PL_22_A</x:v>
      </x:c>
      <x:c r="B49" s="9" t="str">
        <x:v>REG_22</x:v>
      </x:c>
      <x:c r="C49" s="9" t="str">
        <x:v>羊驼花</x:v>
      </x:c>
      <x:c r="D49" s="9" t="str">
        <x:v>花卉</x:v>
      </x:c>
      <x:c r="E49" s="9" t="str">
        <x:v>M4</x:v>
      </x:c>
      <x:c r="F49" s="9" t="n">
        <x:v>20</x:v>
      </x:c>
      <x:c r="G49" s="9" t="n">
        <x:v>120</x:v>
      </x:c>
      <x:c r="H49" s="9" t="n">
        <x:v>92</x:v>
      </x:c>
      <x:c r="I49" s="9" t="n">
        <x:f>H49-F49</x:f>
        <x:v>72</x:v>
      </x:c>
      <x:c r="J49" s="9" t="n">
        <x:v>1</x:v>
      </x:c>
      <x:c r="K49" s="9" t="str">
        <x:v>梯田与织毯；花瓣轮廓独立资产</x:v>
      </x:c>
      <x:c r="L49" s="9" t="str">
        <x:v>新物种独立外观；沿用四槽/天气/金色繁育；无地区收益倍率</x:v>
      </x:c>
      <x:c r="M49" s="9" t="str">
        <x:v>待物种配置与模型/贴图制作</x:v>
      </x:c>
    </x:row>
    <x:row r="50" ht="48" customHeight="1">
      <x:c r="A50" s="10" t="str">
        <x:v>PL_22_B</x:v>
      </x:c>
      <x:c r="B50" s="10" t="str">
        <x:v>REG_22</x:v>
      </x:c>
      <x:c r="C50" s="10" t="str">
        <x:v>刺梨</x:v>
      </x:c>
      <x:c r="D50" s="10" t="str">
        <x:v>果实</x:v>
      </x:c>
      <x:c r="E50" s="10" t="str">
        <x:v>M4</x:v>
      </x:c>
      <x:c r="F50" s="10" t="n">
        <x:v>54</x:v>
      </x:c>
      <x:c r="G50" s="10" t="n">
        <x:v>480</x:v>
      </x:c>
      <x:c r="H50" s="10" t="n">
        <x:v>220</x:v>
      </x:c>
      <x:c r="I50" s="10" t="n">
        <x:f>H50-F50</x:f>
        <x:v>166</x:v>
      </x:c>
      <x:c r="J50" s="10" t="n">
        <x:v>3</x:v>
      </x:c>
      <x:c r="K50" s="10" t="str">
        <x:v>梯田与织毯；果实表皮独立资产</x:v>
      </x:c>
      <x:c r="L50" s="10" t="str">
        <x:v>新物种独立外观；沿用四槽/天气/金色繁育；无地区收益倍率</x:v>
      </x:c>
      <x:c r="M50" s="10" t="str">
        <x:v>待物种配置与模型/贴图制作</x:v>
      </x:c>
    </x:row>
    <x:row r="51" ht="48" customHeight="1">
      <x:c r="A51" s="9" t="str">
        <x:v>PL_23_A</x:v>
      </x:c>
      <x:c r="B51" s="9" t="str">
        <x:v>REG_23</x:v>
      </x:c>
      <x:c r="C51" s="9" t="str">
        <x:v>紫菀</x:v>
      </x:c>
      <x:c r="D51" s="9" t="str">
        <x:v>花卉</x:v>
      </x:c>
      <x:c r="E51" s="9" t="str">
        <x:v>M4</x:v>
      </x:c>
      <x:c r="F51" s="9" t="n">
        <x:v>20</x:v>
      </x:c>
      <x:c r="G51" s="9" t="n">
        <x:v>120</x:v>
      </x:c>
      <x:c r="H51" s="9" t="n">
        <x:v>92</x:v>
      </x:c>
      <x:c r="I51" s="9" t="n">
        <x:f>H51-F51</x:f>
        <x:v>72</x:v>
      </x:c>
      <x:c r="J51" s="9" t="n">
        <x:v>1</x:v>
      </x:c>
      <x:c r="K51" s="9" t="str">
        <x:v>枫叶与木屋；花瓣轮廓独立资产</x:v>
      </x:c>
      <x:c r="L51" s="9" t="str">
        <x:v>新物种独立外观；沿用四槽/天气/金色繁育；无地区收益倍率</x:v>
      </x:c>
      <x:c r="M51" s="9" t="str">
        <x:v>待物种配置与模型/贴图制作</x:v>
      </x:c>
    </x:row>
    <x:row r="52" ht="48" customHeight="1">
      <x:c r="A52" s="10" t="str">
        <x:v>PL_23_B</x:v>
      </x:c>
      <x:c r="B52" s="10" t="str">
        <x:v>REG_23</x:v>
      </x:c>
      <x:c r="C52" s="10" t="str">
        <x:v>蔓越莓</x:v>
      </x:c>
      <x:c r="D52" s="10" t="str">
        <x:v>果实</x:v>
      </x:c>
      <x:c r="E52" s="10" t="str">
        <x:v>M4</x:v>
      </x:c>
      <x:c r="F52" s="10" t="n">
        <x:v>54</x:v>
      </x:c>
      <x:c r="G52" s="10" t="n">
        <x:v>480</x:v>
      </x:c>
      <x:c r="H52" s="10" t="n">
        <x:v>220</x:v>
      </x:c>
      <x:c r="I52" s="10" t="n">
        <x:f>H52-F52</x:f>
        <x:v>166</x:v>
      </x:c>
      <x:c r="J52" s="10" t="n">
        <x:v>3</x:v>
      </x:c>
      <x:c r="K52" s="10" t="str">
        <x:v>枫叶与木屋；果实表皮独立资产</x:v>
      </x:c>
      <x:c r="L52" s="10" t="str">
        <x:v>新物种独立外观；沿用四槽/天气/金色繁育；无地区收益倍率</x:v>
      </x:c>
      <x:c r="M52" s="10" t="str">
        <x:v>待物种配置与模型/贴图制作</x:v>
      </x:c>
    </x:row>
    <x:row r="53" ht="48" customHeight="1">
      <x:c r="A53" s="9" t="str">
        <x:v>PL_24_A</x:v>
      </x:c>
      <x:c r="B53" s="9" t="str">
        <x:v>REG_24</x:v>
      </x:c>
      <x:c r="C53" s="9" t="str">
        <x:v>树蕨</x:v>
      </x:c>
      <x:c r="D53" s="9" t="str">
        <x:v>花卉</x:v>
      </x:c>
      <x:c r="E53" s="9" t="str">
        <x:v>M4</x:v>
      </x:c>
      <x:c r="F53" s="9" t="n">
        <x:v>20</x:v>
      </x:c>
      <x:c r="G53" s="9" t="n">
        <x:v>120</x:v>
      </x:c>
      <x:c r="H53" s="9" t="n">
        <x:v>92</x:v>
      </x:c>
      <x:c r="I53" s="9" t="n">
        <x:f>H53-F53</x:f>
        <x:v>72</x:v>
      </x:c>
      <x:c r="J53" s="9" t="n">
        <x:v>1</x:v>
      </x:c>
      <x:c r="K53" s="9" t="str">
        <x:v>苔藓与萤光；花瓣轮廓独立资产</x:v>
      </x:c>
      <x:c r="L53" s="9" t="str">
        <x:v>新物种独立外观；沿用四槽/天气/金色繁育；无地区收益倍率</x:v>
      </x:c>
      <x:c r="M53" s="9" t="str">
        <x:v>待物种配置与模型/贴图制作</x:v>
      </x:c>
    </x:row>
    <x:row r="54" ht="48" customHeight="1">
      <x:c r="A54" s="10" t="str">
        <x:v>PL_24_B</x:v>
      </x:c>
      <x:c r="B54" s="10" t="str">
        <x:v>REG_24</x:v>
      </x:c>
      <x:c r="C54" s="10" t="str">
        <x:v>桃金娘果</x:v>
      </x:c>
      <x:c r="D54" s="10" t="str">
        <x:v>果实</x:v>
      </x:c>
      <x:c r="E54" s="10" t="str">
        <x:v>M4</x:v>
      </x:c>
      <x:c r="F54" s="10" t="n">
        <x:v>54</x:v>
      </x:c>
      <x:c r="G54" s="10" t="n">
        <x:v>480</x:v>
      </x:c>
      <x:c r="H54" s="10" t="n">
        <x:v>220</x:v>
      </x:c>
      <x:c r="I54" s="10" t="n">
        <x:f>H54-F54</x:f>
        <x:v>166</x:v>
      </x:c>
      <x:c r="J54" s="10" t="n">
        <x:v>3</x:v>
      </x:c>
      <x:c r="K54" s="10" t="str">
        <x:v>苔藓与萤光；果实表皮独立资产</x:v>
      </x:c>
      <x:c r="L54" s="10" t="str">
        <x:v>新物种独立外观；沿用四槽/天气/金色繁育；无地区收益倍率</x:v>
      </x:c>
      <x:c r="M54" s="10" t="str">
        <x:v>待物种配置与模型/贴图制作</x:v>
      </x:c>
    </x:row>
  </x:sheetData>
  <x:pageMargins left="0.7" right="0.7" top="0.75" bottom="0.75" header="0.3" footer="0.3"/>
  <x:tableParts count="1">
    <x:tablePart xmlns:r="http://schemas.openxmlformats.org/officeDocument/2006/relationships" r:id="R571820549501430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18" hidden="0" customWidth="1"/>
    <x:col min="5" max="5" width="40" hidden="0" customWidth="1"/>
    <x:col min="6" max="6" width="13" hidden="0" customWidth="1"/>
    <x:col min="7" max="7" width="25" hidden="0" customWidth="1"/>
    <x:col min="8" max="8" width="43" hidden="0" customWidth="1"/>
    <x:col min="9" max="9" width="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家具套系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8" t="str">
        <x:v>套系ID</x:v>
      </x:c>
      <x:c r="B6" s="8" t="str">
        <x:v>名称</x:v>
      </x:c>
      <x:c r="C6" s="8" t="str">
        <x:v>批次</x:v>
      </x:c>
      <x:c r="D6" s="8" t="str">
        <x:v>主获取</x:v>
      </x:c>
      <x:c r="E6" s="8" t="str">
        <x:v>美术方向</x:v>
      </x:c>
      <x:c r="F6" s="8" t="str">
        <x:v>件数</x:v>
      </x:c>
      <x:c r="G6" s="8" t="str">
        <x:v>首个目标</x:v>
      </x:c>
      <x:c r="H6" s="8" t="str">
        <x:v>整套目标</x:v>
      </x:c>
      <x:c r="I6" s="8" t="str">
        <x:v>生产依赖</x:v>
      </x:c>
    </x:row>
    <x:row r="7" ht="48" customHeight="1">
      <x:c r="A7" s="9" t="str">
        <x:v>SET_01</x:v>
      </x:c>
      <x:c r="B7" s="9" t="str">
        <x:v>水巷听雨</x:v>
      </x:c>
      <x:c r="C7" s="9" t="str">
        <x:v>首发</x:v>
      </x:c>
      <x:c r="D7" s="9" t="str">
        <x:v>见闻</x:v>
      </x:c>
      <x:c r="E7" s="9" t="str">
        <x:v>青瓦、纸窗、波纹</x:v>
      </x:c>
      <x:c r="F7" s="9" t="n">
        <x:v>8</x:v>
      </x:c>
      <x:c r="G7" s="9" t="str">
        <x:v>2—7活跃日首件</x:v>
      </x:c>
      <x:c r="H7" s="9" t="str">
        <x:v>免费套4—8周；星晶套按喜好直购</x:v>
      </x:c>
      <x:c r="I7" s="9" t="str">
        <x:v>二维独立资产；3D版本另排，不冒充已完成</x:v>
      </x:c>
    </x:row>
    <x:row r="8" ht="48" customHeight="1">
      <x:c r="A8" s="10" t="str">
        <x:v>SET_02</x:v>
      </x:c>
      <x:c r="B8" s="10" t="str">
        <x:v>茶山竹舍</x:v>
      </x:c>
      <x:c r="C8" s="10" t="str">
        <x:v>首发</x:v>
      </x:c>
      <x:c r="D8" s="10" t="str">
        <x:v>金币</x:v>
      </x:c>
      <x:c r="E8" s="10" t="str">
        <x:v>浅竹、茶绿、棉麻</x:v>
      </x:c>
      <x:c r="F8" s="10" t="n">
        <x:v>8</x:v>
      </x:c>
      <x:c r="G8" s="10" t="str">
        <x:v>2—7活跃日首件</x:v>
      </x:c>
      <x:c r="H8" s="10" t="str">
        <x:v>免费套4—8周；星晶套按喜好直购</x:v>
      </x:c>
      <x:c r="I8" s="10" t="str">
        <x:v>二维独立资产；3D版本另排，不冒充已完成</x:v>
      </x:c>
    </x:row>
    <x:row r="9" ht="48" customHeight="1">
      <x:c r="A9" s="9" t="str">
        <x:v>SET_03</x:v>
      </x:c>
      <x:c r="B9" s="9" t="str">
        <x:v>月光温室</x:v>
      </x:c>
      <x:c r="C9" s="9" t="str">
        <x:v>首发</x:v>
      </x:c>
      <x:c r="D9" s="9" t="str">
        <x:v>补给</x:v>
      </x:c>
      <x:c r="E9" s="9" t="str">
        <x:v>鼠尾草绿、黄铜、玻璃</x:v>
      </x:c>
      <x:c r="F9" s="9" t="n">
        <x:v>8</x:v>
      </x:c>
      <x:c r="G9" s="9" t="str">
        <x:v>2—7活跃日首件</x:v>
      </x:c>
      <x:c r="H9" s="9" t="str">
        <x:v>免费套4—8周；星晶套按喜好直购</x:v>
      </x:c>
      <x:c r="I9" s="9" t="str">
        <x:v>二维独立资产；3D版本另排，不冒充已完成</x:v>
      </x:c>
    </x:row>
    <x:row r="10" ht="48" customHeight="1">
      <x:c r="A10" s="10" t="str">
        <x:v>SET_04</x:v>
      </x:c>
      <x:c r="B10" s="10" t="str">
        <x:v>雪原木屋</x:v>
      </x:c>
      <x:c r="C10" s="10" t="str">
        <x:v>首发</x:v>
      </x:c>
      <x:c r="D10" s="10" t="str">
        <x:v>见闻</x:v>
      </x:c>
      <x:c r="E10" s="10" t="str">
        <x:v>白蜡木、针织、雪蓝</x:v>
      </x:c>
      <x:c r="F10" s="10" t="n">
        <x:v>8</x:v>
      </x:c>
      <x:c r="G10" s="10" t="str">
        <x:v>2—7活跃日首件</x:v>
      </x:c>
      <x:c r="H10" s="10" t="str">
        <x:v>免费套4—8周；星晶套按喜好直购</x:v>
      </x:c>
      <x:c r="I10" s="10" t="str">
        <x:v>二维独立资产；3D版本另排，不冒充已完成</x:v>
      </x:c>
    </x:row>
    <x:row r="11" ht="48" customHeight="1">
      <x:c r="A11" s="9" t="str">
        <x:v>SET_05</x:v>
      </x:c>
      <x:c r="B11" s="9" t="str">
        <x:v>花街午后</x:v>
      </x:c>
      <x:c r="C11" s="9" t="str">
        <x:v>首发</x:v>
      </x:c>
      <x:c r="D11" s="9" t="str">
        <x:v>金币</x:v>
      </x:c>
      <x:c r="E11" s="9" t="str">
        <x:v>奶油白、玫瑰、法式花窗</x:v>
      </x:c>
      <x:c r="F11" s="9" t="n">
        <x:v>8</x:v>
      </x:c>
      <x:c r="G11" s="9" t="str">
        <x:v>2—7活跃日首件</x:v>
      </x:c>
      <x:c r="H11" s="9" t="str">
        <x:v>免费套4—8周；星晶套按喜好直购</x:v>
      </x:c>
      <x:c r="I11" s="9" t="str">
        <x:v>二维独立资产；3D版本另排，不冒充已完成</x:v>
      </x:c>
    </x:row>
    <x:row r="12" ht="48" customHeight="1">
      <x:c r="A12" s="10" t="str">
        <x:v>SET_06</x:v>
      </x:c>
      <x:c r="B12" s="10" t="str">
        <x:v>紫穗田园</x:v>
      </x:c>
      <x:c r="C12" s="10" t="str">
        <x:v>首发</x:v>
      </x:c>
      <x:c r="D12" s="10" t="str">
        <x:v>见闻</x:v>
      </x:c>
      <x:c r="E12" s="10" t="str">
        <x:v>紫穗、麦色、藤编</x:v>
      </x:c>
      <x:c r="F12" s="10" t="n">
        <x:v>8</x:v>
      </x:c>
      <x:c r="G12" s="10" t="str">
        <x:v>2—7活跃日首件</x:v>
      </x:c>
      <x:c r="H12" s="10" t="str">
        <x:v>免费套4—8周；星晶套按喜好直购</x:v>
      </x:c>
      <x:c r="I12" s="10" t="str">
        <x:v>二维独立资产；3D版本另排，不冒充已完成</x:v>
      </x:c>
    </x:row>
    <x:row r="13" ht="48" customHeight="1">
      <x:c r="A13" s="9" t="str">
        <x:v>SET_07</x:v>
      </x:c>
      <x:c r="B13" s="9" t="str">
        <x:v>风车花港</x:v>
      </x:c>
      <x:c r="C13" s="9" t="str">
        <x:v>首发</x:v>
      </x:c>
      <x:c r="D13" s="9" t="str">
        <x:v>补给</x:v>
      </x:c>
      <x:c r="E13" s="9" t="str">
        <x:v>珊瑚红、乳白、郁金香</x:v>
      </x:c>
      <x:c r="F13" s="9" t="n">
        <x:v>8</x:v>
      </x:c>
      <x:c r="G13" s="9" t="str">
        <x:v>2—7活跃日首件</x:v>
      </x:c>
      <x:c r="H13" s="9" t="str">
        <x:v>免费套4—8周；星晶套按喜好直购</x:v>
      </x:c>
      <x:c r="I13" s="9" t="str">
        <x:v>二维独立资产；3D版本另排，不冒充已完成</x:v>
      </x:c>
    </x:row>
    <x:row r="14" ht="48" customHeight="1">
      <x:c r="A14" s="10" t="str">
        <x:v>SET_08</x:v>
      </x:c>
      <x:c r="B14" s="10" t="str">
        <x:v>雪绒山居</x:v>
      </x:c>
      <x:c r="C14" s="10" t="str">
        <x:v>首发</x:v>
      </x:c>
      <x:c r="D14" s="10" t="str">
        <x:v>见闻</x:v>
      </x:c>
      <x:c r="E14" s="10" t="str">
        <x:v>松绿、冷灰、山石</x:v>
      </x:c>
      <x:c r="F14" s="10" t="n">
        <x:v>8</x:v>
      </x:c>
      <x:c r="G14" s="10" t="str">
        <x:v>2—7活跃日首件</x:v>
      </x:c>
      <x:c r="H14" s="10" t="str">
        <x:v>免费套4—8周；星晶套按喜好直购</x:v>
      </x:c>
      <x:c r="I14" s="10" t="str">
        <x:v>二维独立资产；3D版本另排，不冒充已完成</x:v>
      </x:c>
    </x:row>
    <x:row r="15" ht="48" customHeight="1">
      <x:c r="A15" s="9" t="str">
        <x:v>SET_09</x:v>
      </x:c>
      <x:c r="B15" s="9" t="str">
        <x:v>蓝白海岸</x:v>
      </x:c>
      <x:c r="C15" s="9" t="str">
        <x:v>首发</x:v>
      </x:c>
      <x:c r="D15" s="9" t="str">
        <x:v>星晶</x:v>
      </x:c>
      <x:c r="E15" s="9" t="str">
        <x:v>钴蓝、石白、贝壳</x:v>
      </x:c>
      <x:c r="F15" s="9" t="n">
        <x:v>8</x:v>
      </x:c>
      <x:c r="G15" s="9" t="str">
        <x:v>2—7活跃日首件</x:v>
      </x:c>
      <x:c r="H15" s="9" t="str">
        <x:v>免费套4—8周；星晶套按喜好直购</x:v>
      </x:c>
      <x:c r="I15" s="9" t="str">
        <x:v>二维独立资产；3D版本另排，不冒充已完成</x:v>
      </x:c>
    </x:row>
    <x:row r="16" ht="48" customHeight="1">
      <x:c r="A16" s="10" t="str">
        <x:v>SET_10</x:v>
      </x:c>
      <x:c r="B16" s="10" t="str">
        <x:v>雨林藤屋</x:v>
      </x:c>
      <x:c r="C16" s="10" t="str">
        <x:v>首发</x:v>
      </x:c>
      <x:c r="D16" s="10" t="str">
        <x:v>补给</x:v>
      </x:c>
      <x:c r="E16" s="10" t="str">
        <x:v>藤编、翡翠绿、滴水叶</x:v>
      </x:c>
      <x:c r="F16" s="10" t="n">
        <x:v>8</x:v>
      </x:c>
      <x:c r="G16" s="10" t="str">
        <x:v>2—7活跃日首件</x:v>
      </x:c>
      <x:c r="H16" s="10" t="str">
        <x:v>免费套4—8周；星晶套按喜好直购</x:v>
      </x:c>
      <x:c r="I16" s="10" t="str">
        <x:v>二维独立资产；3D版本另排，不冒充已完成</x:v>
      </x:c>
    </x:row>
    <x:row r="17" ht="48" customHeight="1">
      <x:c r="A17" s="9" t="str">
        <x:v>SET_11</x:v>
      </x:c>
      <x:c r="B17" s="9" t="str">
        <x:v>铜光庭院</x:v>
      </x:c>
      <x:c r="C17" s="9" t="str">
        <x:v>首发</x:v>
      </x:c>
      <x:c r="D17" s="9" t="str">
        <x:v>星晶</x:v>
      </x:c>
      <x:c r="E17" s="9" t="str">
        <x:v>暖铜、祖母绿、拱纹</x:v>
      </x:c>
      <x:c r="F17" s="9" t="n">
        <x:v>8</x:v>
      </x:c>
      <x:c r="G17" s="9" t="str">
        <x:v>2—7活跃日首件</x:v>
      </x:c>
      <x:c r="H17" s="9" t="str">
        <x:v>免费套4—8周；星晶套按喜好直购</x:v>
      </x:c>
      <x:c r="I17" s="9" t="str">
        <x:v>二维独立资产；3D版本另排，不冒充已完成</x:v>
      </x:c>
    </x:row>
    <x:row r="18" ht="48" customHeight="1">
      <x:c r="A18" s="10" t="str">
        <x:v>SET_12</x:v>
      </x:c>
      <x:c r="B18" s="10" t="str">
        <x:v>极光小筑</x:v>
      </x:c>
      <x:c r="C18" s="10" t="str">
        <x:v>首发</x:v>
      </x:c>
      <x:c r="D18" s="10" t="str">
        <x:v>星晶</x:v>
      </x:c>
      <x:c r="E18" s="10" t="str">
        <x:v>黑岩、极光渐变、磨砂玻璃</x:v>
      </x:c>
      <x:c r="F18" s="10" t="n">
        <x:v>8</x:v>
      </x:c>
      <x:c r="G18" s="10" t="str">
        <x:v>2—7活跃日首件</x:v>
      </x:c>
      <x:c r="H18" s="10" t="str">
        <x:v>免费套4—8周；星晶套按喜好直购</x:v>
      </x:c>
      <x:c r="I18" s="10" t="str">
        <x:v>二维独立资产；3D版本另排，不冒充已完成</x:v>
      </x:c>
    </x:row>
    <x:row r="19" ht="48" customHeight="1">
      <x:c r="A19" s="9" t="str">
        <x:v>SET_13</x:v>
      </x:c>
      <x:c r="B19" s="9" t="str">
        <x:v>风花兰室</x:v>
      </x:c>
      <x:c r="C19" s="9" t="str">
        <x:v>M2</x:v>
      </x:c>
      <x:c r="D19" s="9" t="str">
        <x:v>见闻</x:v>
      </x:c>
      <x:c r="E19" s="9" t="str">
        <x:v>扎染蓝、兰紫、通透玻璃</x:v>
      </x:c>
      <x:c r="F19" s="9" t="n">
        <x:v>8</x:v>
      </x:c>
      <x:c r="G19" s="9" t="str">
        <x:v>2—7活跃日首件</x:v>
      </x:c>
      <x:c r="H19" s="9" t="str">
        <x:v>免费套4—8周；星晶套按喜好直购</x:v>
      </x:c>
      <x:c r="I19" s="9" t="str">
        <x:v>二维独立资产；3D版本另排，不冒充已完成</x:v>
      </x:c>
    </x:row>
    <x:row r="20" ht="48" customHeight="1">
      <x:c r="A20" s="10" t="str">
        <x:v>SET_14</x:v>
      </x:c>
      <x:c r="B20" s="10" t="str">
        <x:v>彩玻璃花廊</x:v>
      </x:c>
      <x:c r="C20" s="10" t="str">
        <x:v>M2</x:v>
      </x:c>
      <x:c r="D20" s="10" t="str">
        <x:v>星晶</x:v>
      </x:c>
      <x:c r="E20" s="10" t="str">
        <x:v>彩玻璃、帝王花、石白</x:v>
      </x:c>
      <x:c r="F20" s="10" t="n">
        <x:v>8</x:v>
      </x:c>
      <x:c r="G20" s="10" t="str">
        <x:v>2—7活跃日首件</x:v>
      </x:c>
      <x:c r="H20" s="10" t="str">
        <x:v>免费套4—8周；星晶套按喜好直购</x:v>
      </x:c>
      <x:c r="I20" s="10" t="str">
        <x:v>二维独立资产；3D版本另排，不冒充已完成</x:v>
      </x:c>
    </x:row>
    <x:row r="21" ht="48" customHeight="1">
      <x:c r="A21" s="9" t="str">
        <x:v>SET_15</x:v>
      </x:c>
      <x:c r="B21" s="9" t="str">
        <x:v>瓷蓝峡湾</x:v>
      </x:c>
      <x:c r="C21" s="9" t="str">
        <x:v>M3</x:v>
      </x:c>
      <x:c r="D21" s="9" t="str">
        <x:v>见闻</x:v>
      </x:c>
      <x:c r="E21" s="9" t="str">
        <x:v>蓝瓷、冷杉、银线</x:v>
      </x:c>
      <x:c r="F21" s="9" t="n">
        <x:v>8</x:v>
      </x:c>
      <x:c r="G21" s="9" t="str">
        <x:v>2—7活跃日首件</x:v>
      </x:c>
      <x:c r="H21" s="9" t="str">
        <x:v>免费套4—8周；星晶套按喜好直购</x:v>
      </x:c>
      <x:c r="I21" s="9" t="str">
        <x:v>二维独立资产；3D版本另排，不冒充已完成</x:v>
      </x:c>
    </x:row>
    <x:row r="22" ht="48" customHeight="1">
      <x:c r="A22" s="10" t="str">
        <x:v>SET_16</x:v>
      </x:c>
      <x:c r="B22" s="10" t="str">
        <x:v>花市湖光</x:v>
      </x:c>
      <x:c r="C22" s="10" t="str">
        <x:v>M3</x:v>
      </x:c>
      <x:c r="D22" s="10" t="str">
        <x:v>星晶</x:v>
      </x:c>
      <x:c r="E22" s="10" t="str">
        <x:v>剪纸橙、银蕨、湖蓝</x:v>
      </x:c>
      <x:c r="F22" s="10" t="n">
        <x:v>8</x:v>
      </x:c>
      <x:c r="G22" s="10" t="str">
        <x:v>2—7活跃日首件</x:v>
      </x:c>
      <x:c r="H22" s="10" t="str">
        <x:v>免费套4—8周；星晶套按喜好直购</x:v>
      </x:c>
      <x:c r="I22" s="10" t="str">
        <x:v>二维独立资产；3D版本另排，不冒充已完成</x:v>
      </x:c>
    </x:row>
    <x:row r="23" ht="48" customHeight="1">
      <x:c r="A23" s="9" t="str">
        <x:v>SET_17</x:v>
      </x:c>
      <x:c r="B23" s="9" t="str">
        <x:v>星毯花园</x:v>
      </x:c>
      <x:c r="C23" s="9" t="str">
        <x:v>M4</x:v>
      </x:c>
      <x:c r="D23" s="9" t="str">
        <x:v>见闻</x:v>
      </x:c>
      <x:c r="E23" s="9" t="str">
        <x:v>彩灯、织毯、星纹</x:v>
      </x:c>
      <x:c r="F23" s="9" t="n">
        <x:v>8</x:v>
      </x:c>
      <x:c r="G23" s="9" t="str">
        <x:v>2—7活跃日首件</x:v>
      </x:c>
      <x:c r="H23" s="9" t="str">
        <x:v>免费套4—8周；星晶套按喜好直购</x:v>
      </x:c>
      <x:c r="I23" s="9" t="str">
        <x:v>二维独立资产；3D版本另排，不冒充已完成</x:v>
      </x:c>
    </x:row>
    <x:row r="24" ht="48" customHeight="1">
      <x:c r="A24" s="10" t="str">
        <x:v>SET_18</x:v>
      </x:c>
      <x:c r="B24" s="10" t="str">
        <x:v>枫林萤居</x:v>
      </x:c>
      <x:c r="C24" s="10" t="str">
        <x:v>M4</x:v>
      </x:c>
      <x:c r="D24" s="10" t="str">
        <x:v>星晶</x:v>
      </x:c>
      <x:c r="E24" s="10" t="str">
        <x:v>枫红、苔绿、萤光</x:v>
      </x:c>
      <x:c r="F24" s="10" t="n">
        <x:v>8</x:v>
      </x:c>
      <x:c r="G24" s="10" t="str">
        <x:v>2—7活跃日首件</x:v>
      </x:c>
      <x:c r="H24" s="10" t="str">
        <x:v>免费套4—8周；星晶套按喜好直购</x:v>
      </x:c>
      <x:c r="I24" s="10" t="str">
        <x:v>二维独立资产；3D版本另排，不冒充已完成</x:v>
      </x:c>
    </x:row>
  </x:sheetData>
  <x:pageMargins left="0.7" right="0.7" top="0.75" bottom="0.75" header="0.3" footer="0.3"/>
  <x:tableParts count="1">
    <x:tablePart xmlns:r="http://schemas.openxmlformats.org/officeDocument/2006/relationships" r:id="R8e5bd896e3354cd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12" hidden="0" customWidth="1"/>
    <x:col min="5" max="5" width="12" hidden="0" customWidth="1"/>
    <x:col min="6" max="6" width="14" hidden="0" customWidth="1"/>
    <x:col min="7" max="7" width="16" hidden="0" customWidth="1"/>
    <x:col min="8" max="8" width="20" hidden="0" customWidth="1"/>
    <x:col min="9" max="9" width="17" hidden="0" customWidth="1"/>
    <x:col min="10" max="10" width="17" hidden="0" customWidth="1"/>
    <x:col min="11" max="11" width="49" hidden="0" customWidth="1"/>
    <x:col min="12" max="12" width="49" hidden="0" customWidth="1"/>
    <x:col min="13" max="13" width="75" hidden="0" customWidth="1"/>
    <x:col min="14" max="14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家具目录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4" customHeight="1">
      <x:c r="A6" s="8" t="str">
        <x:v>物品ID</x:v>
      </x:c>
      <x:c r="B6" s="8" t="str">
        <x:v>套系ID</x:v>
      </x:c>
      <x:c r="C6" s="8" t="str">
        <x:v>名称</x:v>
      </x:c>
      <x:c r="D6" s="8" t="str">
        <x:v>品质</x:v>
      </x:c>
      <x:c r="E6" s="8" t="str">
        <x:v>批次</x:v>
      </x:c>
      <x:c r="F6" s="8" t="str">
        <x:v>摆放面</x:v>
      </x:c>
      <x:c r="G6" s="8" t="str">
        <x:v>主获取</x:v>
      </x:c>
      <x:c r="H6" s="8" t="str">
        <x:v>货币/进度</x:v>
      </x:c>
      <x:c r="I6" s="8" t="str">
        <x:v>直购价</x:v>
      </x:c>
      <x:c r="J6" s="8" t="str">
        <x:v>地区ID</x:v>
      </x:c>
      <x:c r="K6" s="8" t="str">
        <x:v>解锁/投放条件</x:v>
      </x:c>
      <x:c r="L6" s="8" t="str">
        <x:v>重复规则</x:v>
      </x:c>
      <x:c r="M6" s="8" t="str">
        <x:v>美术规格</x:v>
      </x:c>
      <x:c r="N6" s="8" t="str">
        <x:v>实现状态</x:v>
      </x:c>
    </x:row>
    <x:row r="7" ht="48" customHeight="1">
      <x:c r="A7" s="9" t="str">
        <x:v>F_01_1</x:v>
      </x:c>
      <x:c r="B7" s="9" t="str">
        <x:v>SET_01</x:v>
      </x:c>
      <x:c r="C7" s="9" t="str">
        <x:v>雨巷矮凳</x:v>
      </x:c>
      <x:c r="D7" s="9" t="str">
        <x:v>R</x:v>
      </x:c>
      <x:c r="E7" s="9" t="str">
        <x:v>首发</x:v>
      </x:c>
      <x:c r="F7" s="9" t="str">
        <x:v>落地</x:v>
      </x:c>
      <x:c r="G7" s="9" t="str">
        <x:v>金币</x:v>
      </x:c>
      <x:c r="H7" s="9" t="str">
        <x:v>花园币</x:v>
      </x:c>
      <x:c r="I7" s="9" t="n">
        <x:v>180</x:v>
      </x:c>
      <x:c r="J7" s="9" t="str">
        <x:v>REG_01</x:v>
      </x:c>
      <x:c r="K7" s="9" t="str">
        <x:v>地区首访后金币货架永久开放</x:v>
      </x:c>
      <x:c r="L7" s="9" t="str">
        <x:v>先保留2件；第三件起R30/SR120/SSR300金币</x:v>
      </x:c>
      <x:c r="M7" s="9" t="str">
        <x:v>青瓦、纸窗、波纹；雨巷矮凳独立轮廓；SSR只加环境细节</x:v>
      </x:c>
      <x:c r="N7" s="9" t="str">
        <x:v>待制作</x:v>
      </x:c>
    </x:row>
    <x:row r="8" ht="48" customHeight="1">
      <x:c r="A8" s="10" t="str">
        <x:v>F_01_2</x:v>
      </x:c>
      <x:c r="B8" s="10" t="str">
        <x:v>SET_01</x:v>
      </x:c>
      <x:c r="C8" s="10" t="str">
        <x:v>青瓷落地灯</x:v>
      </x:c>
      <x:c r="D8" s="10" t="str">
        <x:v>R</x:v>
      </x:c>
      <x:c r="E8" s="10" t="str">
        <x:v>首发</x:v>
      </x:c>
      <x:c r="F8" s="10" t="str">
        <x:v>落地</x:v>
      </x:c>
      <x:c r="G8" s="10" t="str">
        <x:v>金币</x:v>
      </x:c>
      <x:c r="H8" s="10" t="str">
        <x:v>花园币</x:v>
      </x:c>
      <x:c r="I8" s="10" t="n">
        <x:v>360</x:v>
      </x:c>
      <x:c r="J8" s="10" t="str">
        <x:v>REG_01</x:v>
      </x:c>
      <x:c r="K8" s="10" t="str">
        <x:v>地区首访后金币货架永久开放</x:v>
      </x:c>
      <x:c r="L8" s="10" t="str">
        <x:v>先保留2件；第三件起R30/SR120/SSR300金币</x:v>
      </x:c>
      <x:c r="M8" s="10" t="str">
        <x:v>青瓦、纸窗、波纹；青瓷落地灯独立轮廓；SSR只加环境细节</x:v>
      </x:c>
      <x:c r="N8" s="10" t="str">
        <x:v>待制作</x:v>
      </x:c>
    </x:row>
    <x:row r="9" ht="48" customHeight="1">
      <x:c r="A9" s="9" t="str">
        <x:v>F_01_3</x:v>
      </x:c>
      <x:c r="B9" s="9" t="str">
        <x:v>SET_01</x:v>
      </x:c>
      <x:c r="C9" s="9" t="str">
        <x:v>水纹茶几</x:v>
      </x:c>
      <x:c r="D9" s="9" t="str">
        <x:v>R</x:v>
      </x:c>
      <x:c r="E9" s="9" t="str">
        <x:v>首发</x:v>
      </x:c>
      <x:c r="F9" s="9" t="str">
        <x:v>落地</x:v>
      </x:c>
      <x:c r="G9" s="9" t="str">
        <x:v>金币</x:v>
      </x:c>
      <x:c r="H9" s="9" t="str">
        <x:v>花园币</x:v>
      </x:c>
      <x:c r="I9" s="9" t="n">
        <x:v>600</x:v>
      </x:c>
      <x:c r="J9" s="9" t="str">
        <x:v>REG_01</x:v>
      </x:c>
      <x:c r="K9" s="9" t="str">
        <x:v>地区首访后金币货架永久开放</x:v>
      </x:c>
      <x:c r="L9" s="9" t="str">
        <x:v>先保留2件；第三件起R30/SR120/SSR300金币</x:v>
      </x:c>
      <x:c r="M9" s="9" t="str">
        <x:v>青瓦、纸窗、波纹；水纹茶几独立轮廓；SSR只加环境细节</x:v>
      </x:c>
      <x:c r="N9" s="9" t="str">
        <x:v>待制作</x:v>
      </x:c>
    </x:row>
    <x:row r="10" ht="48" customHeight="1">
      <x:c r="A10" s="10" t="str">
        <x:v>F_01_4</x:v>
      </x:c>
      <x:c r="B10" s="10" t="str">
        <x:v>SET_01</x:v>
      </x:c>
      <x:c r="C10" s="10" t="str">
        <x:v>竹影双人榻</x:v>
      </x:c>
      <x:c r="D10" s="10" t="str">
        <x:v>SR</x:v>
      </x:c>
      <x:c r="E10" s="10" t="str">
        <x:v>首发</x:v>
      </x:c>
      <x:c r="F10" s="10" t="str">
        <x:v>落地</x:v>
      </x:c>
      <x:c r="G10" s="10" t="str">
        <x:v>见闻</x:v>
      </x:c>
      <x:c r="H10" s="10" t="str">
        <x:v>地区见闻</x:v>
      </x:c>
      <x:c r="I10" s="10" t="n">
        <x:v>0</x:v>
      </x:c>
      <x:c r="J10" s="10" t="str">
        <x:v>REG_01</x:v>
      </x:c>
      <x:c r="K10" s="10" t="str">
        <x:v>本地区6次普通旅行</x:v>
      </x:c>
      <x:c r="L10" s="10" t="str">
        <x:v>先保留2件；第三件起R30/SR120/SSR300金币</x:v>
      </x:c>
      <x:c r="M10" s="10" t="str">
        <x:v>青瓦、纸窗、波纹；竹影双人榻独立轮廓；SSR只加环境细节</x:v>
      </x:c>
      <x:c r="N10" s="10" t="str">
        <x:v>待制作</x:v>
      </x:c>
    </x:row>
    <x:row r="11" ht="48" customHeight="1">
      <x:c r="A11" s="9" t="str">
        <x:v>F_01_5</x:v>
      </x:c>
      <x:c r="B11" s="9" t="str">
        <x:v>SET_01</x:v>
      </x:c>
      <x:c r="C11" s="9" t="str">
        <x:v>青瓦陈列柜</x:v>
      </x:c>
      <x:c r="D11" s="9" t="str">
        <x:v>SR</x:v>
      </x:c>
      <x:c r="E11" s="9" t="str">
        <x:v>首发</x:v>
      </x:c>
      <x:c r="F11" s="9" t="str">
        <x:v>落地</x:v>
      </x:c>
      <x:c r="G11" s="9" t="str">
        <x:v>见闻</x:v>
      </x:c>
      <x:c r="H11" s="9" t="str">
        <x:v>地区见闻</x:v>
      </x:c>
      <x:c r="I11" s="9" t="n">
        <x:v>0</x:v>
      </x:c>
      <x:c r="J11" s="9" t="str">
        <x:v>REG_01</x:v>
      </x:c>
      <x:c r="K11" s="9" t="str">
        <x:v>本地区6次普通旅行</x:v>
      </x:c>
      <x:c r="L11" s="9" t="str">
        <x:v>先保留2件；第三件起R30/SR120/SSR300金币</x:v>
      </x:c>
      <x:c r="M11" s="9" t="str">
        <x:v>青瓦、纸窗、波纹；青瓦陈列柜独立轮廓；SSR只加环境细节</x:v>
      </x:c>
      <x:c r="N11" s="9" t="str">
        <x:v>待制作</x:v>
      </x:c>
    </x:row>
    <x:row r="12" ht="48" customHeight="1">
      <x:c r="A12" s="10" t="str">
        <x:v>F_01_6</x:v>
      </x:c>
      <x:c r="B12" s="10" t="str">
        <x:v>SET_01</x:v>
      </x:c>
      <x:c r="C12" s="10" t="str">
        <x:v>雨巷挂帘</x:v>
      </x:c>
      <x:c r="D12" s="10" t="str">
        <x:v>SR</x:v>
      </x:c>
      <x:c r="E12" s="10" t="str">
        <x:v>首发</x:v>
      </x:c>
      <x:c r="F12" s="10" t="str">
        <x:v>墙饰</x:v>
      </x:c>
      <x:c r="G12" s="10" t="str">
        <x:v>见闻</x:v>
      </x:c>
      <x:c r="H12" s="10" t="str">
        <x:v>地区见闻</x:v>
      </x:c>
      <x:c r="I12" s="10" t="n">
        <x:v>0</x:v>
      </x:c>
      <x:c r="J12" s="10" t="str">
        <x:v>REG_01</x:v>
      </x:c>
      <x:c r="K12" s="10" t="str">
        <x:v>本地区6次普通旅行</x:v>
      </x:c>
      <x:c r="L12" s="10" t="str">
        <x:v>先保留2件；第三件起R30/SR120/SSR300金币</x:v>
      </x:c>
      <x:c r="M12" s="10" t="str">
        <x:v>青瓦、纸窗、波纹；雨巷挂帘独立轮廓；SSR只加环境细节</x:v>
      </x:c>
      <x:c r="N12" s="10" t="str">
        <x:v>待制作</x:v>
      </x:c>
    </x:row>
    <x:row r="13" ht="48" customHeight="1">
      <x:c r="A13" s="9" t="str">
        <x:v>F_01_7</x:v>
      </x:c>
      <x:c r="B13" s="9" t="str">
        <x:v>SET_01</x:v>
      </x:c>
      <x:c r="C13" s="9" t="str">
        <x:v>涟漪地毯</x:v>
      </x:c>
      <x:c r="D13" s="9" t="str">
        <x:v>SSR</x:v>
      </x:c>
      <x:c r="E13" s="9" t="str">
        <x:v>首发</x:v>
      </x:c>
      <x:c r="F13" s="9" t="str">
        <x:v>地毯</x:v>
      </x:c>
      <x:c r="G13" s="9" t="str">
        <x:v>见闻</x:v>
      </x:c>
      <x:c r="H13" s="9" t="str">
        <x:v>地区见闻</x:v>
      </x:c>
      <x:c r="I13" s="9" t="n">
        <x:v>0</x:v>
      </x:c>
      <x:c r="J13" s="9" t="str">
        <x:v>REG_01</x:v>
      </x:c>
      <x:c r="K13" s="9" t="str">
        <x:v>本地区12次普通旅行</x:v>
      </x:c>
      <x:c r="L13" s="9" t="str">
        <x:v>先保留2件；第三件起R30/SR120/SSR300金币</x:v>
      </x:c>
      <x:c r="M13" s="9" t="str">
        <x:v>青瓦、纸窗、波纹；涟漪地毯独立轮廓；SSR只加环境细节</x:v>
      </x:c>
      <x:c r="N13" s="9" t="str">
        <x:v>待制作</x:v>
      </x:c>
    </x:row>
    <x:row r="14" ht="48" customHeight="1">
      <x:c r="A14" s="10" t="str">
        <x:v>F_01_8</x:v>
      </x:c>
      <x:c r="B14" s="10" t="str">
        <x:v>SET_01</x:v>
      </x:c>
      <x:c r="C14" s="10" t="str">
        <x:v>听雨小水景</x:v>
      </x:c>
      <x:c r="D14" s="10" t="str">
        <x:v>SSR</x:v>
      </x:c>
      <x:c r="E14" s="10" t="str">
        <x:v>首发</x:v>
      </x:c>
      <x:c r="F14" s="10" t="str">
        <x:v>落地</x:v>
      </x:c>
      <x:c r="G14" s="10" t="str">
        <x:v>见闻</x:v>
      </x:c>
      <x:c r="H14" s="10" t="str">
        <x:v>地区见闻</x:v>
      </x:c>
      <x:c r="I14" s="10" t="n">
        <x:v>0</x:v>
      </x:c>
      <x:c r="J14" s="10" t="str">
        <x:v>REG_01</x:v>
      </x:c>
      <x:c r="K14" s="10" t="str">
        <x:v>本地区12次普通旅行</x:v>
      </x:c>
      <x:c r="L14" s="10" t="str">
        <x:v>先保留2件；第三件起R30/SR120/SSR300金币</x:v>
      </x:c>
      <x:c r="M14" s="10" t="str">
        <x:v>青瓦、纸窗、波纹；听雨小水景独立轮廓；SSR只加环境细节</x:v>
      </x:c>
      <x:c r="N14" s="10" t="str">
        <x:v>待制作</x:v>
      </x:c>
    </x:row>
    <x:row r="15" ht="48" customHeight="1">
      <x:c r="A15" s="9" t="str">
        <x:v>F_02_1</x:v>
      </x:c>
      <x:c r="B15" s="9" t="str">
        <x:v>SET_02</x:v>
      </x:c>
      <x:c r="C15" s="9" t="str">
        <x:v>竹编坐墩</x:v>
      </x:c>
      <x:c r="D15" s="9" t="str">
        <x:v>R</x:v>
      </x:c>
      <x:c r="E15" s="9" t="str">
        <x:v>首发</x:v>
      </x:c>
      <x:c r="F15" s="9" t="str">
        <x:v>落地</x:v>
      </x:c>
      <x:c r="G15" s="9" t="str">
        <x:v>金币</x:v>
      </x:c>
      <x:c r="H15" s="9" t="str">
        <x:v>花园币</x:v>
      </x:c>
      <x:c r="I15" s="9" t="n">
        <x:v>180</x:v>
      </x:c>
      <x:c r="J15" s="9" t="str">
        <x:v>REG_02</x:v>
      </x:c>
      <x:c r="K15" s="9" t="str">
        <x:v>地区首访后金币货架永久开放</x:v>
      </x:c>
      <x:c r="L15" s="9" t="str">
        <x:v>先保留2件；第三件起R30/SR120/SSR300金币</x:v>
      </x:c>
      <x:c r="M15" s="9" t="str">
        <x:v>浅竹、茶绿、棉麻；竹编坐墩独立轮廓；SSR只加环境细节</x:v>
      </x:c>
      <x:c r="N15" s="9" t="str">
        <x:v>待制作</x:v>
      </x:c>
    </x:row>
    <x:row r="16" ht="48" customHeight="1">
      <x:c r="A16" s="10" t="str">
        <x:v>F_02_2</x:v>
      </x:c>
      <x:c r="B16" s="10" t="str">
        <x:v>SET_02</x:v>
      </x:c>
      <x:c r="C16" s="10" t="str">
        <x:v>茶芽立灯</x:v>
      </x:c>
      <x:c r="D16" s="10" t="str">
        <x:v>R</x:v>
      </x:c>
      <x:c r="E16" s="10" t="str">
        <x:v>首发</x:v>
      </x:c>
      <x:c r="F16" s="10" t="str">
        <x:v>落地</x:v>
      </x:c>
      <x:c r="G16" s="10" t="str">
        <x:v>金币</x:v>
      </x:c>
      <x:c r="H16" s="10" t="str">
        <x:v>花园币</x:v>
      </x:c>
      <x:c r="I16" s="10" t="n">
        <x:v>360</x:v>
      </x:c>
      <x:c r="J16" s="10" t="str">
        <x:v>REG_02</x:v>
      </x:c>
      <x:c r="K16" s="10" t="str">
        <x:v>地区首访后金币货架永久开放</x:v>
      </x:c>
      <x:c r="L16" s="10" t="str">
        <x:v>先保留2件；第三件起R30/SR120/SSR300金币</x:v>
      </x:c>
      <x:c r="M16" s="10" t="str">
        <x:v>浅竹、茶绿、棉麻；茶芽立灯独立轮廓；SSR只加环境细节</x:v>
      </x:c>
      <x:c r="N16" s="10" t="str">
        <x:v>待制作</x:v>
      </x:c>
    </x:row>
    <x:row r="17" ht="48" customHeight="1">
      <x:c r="A17" s="9" t="str">
        <x:v>F_02_3</x:v>
      </x:c>
      <x:c r="B17" s="9" t="str">
        <x:v>SET_02</x:v>
      </x:c>
      <x:c r="C17" s="9" t="str">
        <x:v>竹节方几</x:v>
      </x:c>
      <x:c r="D17" s="9" t="str">
        <x:v>R</x:v>
      </x:c>
      <x:c r="E17" s="9" t="str">
        <x:v>首发</x:v>
      </x:c>
      <x:c r="F17" s="9" t="str">
        <x:v>落地</x:v>
      </x:c>
      <x:c r="G17" s="9" t="str">
        <x:v>金币</x:v>
      </x:c>
      <x:c r="H17" s="9" t="str">
        <x:v>花园币</x:v>
      </x:c>
      <x:c r="I17" s="9" t="n">
        <x:v>600</x:v>
      </x:c>
      <x:c r="J17" s="9" t="str">
        <x:v>REG_02</x:v>
      </x:c>
      <x:c r="K17" s="9" t="str">
        <x:v>地区首访后金币货架永久开放</x:v>
      </x:c>
      <x:c r="L17" s="9" t="str">
        <x:v>先保留2件；第三件起R30/SR120/SSR300金币</x:v>
      </x:c>
      <x:c r="M17" s="9" t="str">
        <x:v>浅竹、茶绿、棉麻；竹节方几独立轮廓；SSR只加环境细节</x:v>
      </x:c>
      <x:c r="N17" s="9" t="str">
        <x:v>待制作</x:v>
      </x:c>
    </x:row>
    <x:row r="18" ht="48" customHeight="1">
      <x:c r="A18" s="10" t="str">
        <x:v>F_02_4</x:v>
      </x:c>
      <x:c r="B18" s="10" t="str">
        <x:v>SET_02</x:v>
      </x:c>
      <x:c r="C18" s="10" t="str">
        <x:v>茶山长椅</x:v>
      </x:c>
      <x:c r="D18" s="10" t="str">
        <x:v>SR</x:v>
      </x:c>
      <x:c r="E18" s="10" t="str">
        <x:v>首发</x:v>
      </x:c>
      <x:c r="F18" s="10" t="str">
        <x:v>落地</x:v>
      </x:c>
      <x:c r="G18" s="10" t="str">
        <x:v>金币</x:v>
      </x:c>
      <x:c r="H18" s="10" t="str">
        <x:v>花园币</x:v>
      </x:c>
      <x:c r="I18" s="10" t="n">
        <x:v>900</x:v>
      </x:c>
      <x:c r="J18" s="10" t="str">
        <x:v>REG_02</x:v>
      </x:c>
      <x:c r="K18" s="10" t="str">
        <x:v>地区首访后金币货架永久开放</x:v>
      </x:c>
      <x:c r="L18" s="10" t="str">
        <x:v>先保留2件；第三件起R30/SR120/SSR300金币</x:v>
      </x:c>
      <x:c r="M18" s="10" t="str">
        <x:v>浅竹、茶绿、棉麻；茶山长椅独立轮廓；SSR只加环境细节</x:v>
      </x:c>
      <x:c r="N18" s="10" t="str">
        <x:v>待制作</x:v>
      </x:c>
    </x:row>
    <x:row r="19" ht="48" customHeight="1">
      <x:c r="A19" s="9" t="str">
        <x:v>F_02_5</x:v>
      </x:c>
      <x:c r="B19" s="9" t="str">
        <x:v>SET_02</x:v>
      </x:c>
      <x:c r="C19" s="9" t="str">
        <x:v>茶罐竹架</x:v>
      </x:c>
      <x:c r="D19" s="9" t="str">
        <x:v>SR</x:v>
      </x:c>
      <x:c r="E19" s="9" t="str">
        <x:v>首发</x:v>
      </x:c>
      <x:c r="F19" s="9" t="str">
        <x:v>落地</x:v>
      </x:c>
      <x:c r="G19" s="9" t="str">
        <x:v>金币</x:v>
      </x:c>
      <x:c r="H19" s="9" t="str">
        <x:v>花园币</x:v>
      </x:c>
      <x:c r="I19" s="9" t="n">
        <x:v>1200</x:v>
      </x:c>
      <x:c r="J19" s="9" t="str">
        <x:v>REG_02</x:v>
      </x:c>
      <x:c r="K19" s="9" t="str">
        <x:v>地区首访后金币货架永久开放</x:v>
      </x:c>
      <x:c r="L19" s="9" t="str">
        <x:v>先保留2件；第三件起R30/SR120/SSR300金币</x:v>
      </x:c>
      <x:c r="M19" s="9" t="str">
        <x:v>浅竹、茶绿、棉麻；茶罐竹架独立轮廓；SSR只加环境细节</x:v>
      </x:c>
      <x:c r="N19" s="9" t="str">
        <x:v>待制作</x:v>
      </x:c>
    </x:row>
    <x:row r="20" ht="48" customHeight="1">
      <x:c r="A20" s="10" t="str">
        <x:v>F_02_6</x:v>
      </x:c>
      <x:c r="B20" s="10" t="str">
        <x:v>SET_02</x:v>
      </x:c>
      <x:c r="C20" s="10" t="str">
        <x:v>山茶挂画</x:v>
      </x:c>
      <x:c r="D20" s="10" t="str">
        <x:v>SR</x:v>
      </x:c>
      <x:c r="E20" s="10" t="str">
        <x:v>首发</x:v>
      </x:c>
      <x:c r="F20" s="10" t="str">
        <x:v>墙饰</x:v>
      </x:c>
      <x:c r="G20" s="10" t="str">
        <x:v>金币</x:v>
      </x:c>
      <x:c r="H20" s="10" t="str">
        <x:v>花园币</x:v>
      </x:c>
      <x:c r="I20" s="10" t="n">
        <x:v>1800</x:v>
      </x:c>
      <x:c r="J20" s="10" t="str">
        <x:v>REG_02</x:v>
      </x:c>
      <x:c r="K20" s="10" t="str">
        <x:v>地区首访后金币货架永久开放</x:v>
      </x:c>
      <x:c r="L20" s="10" t="str">
        <x:v>先保留2件；第三件起R30/SR120/SSR300金币</x:v>
      </x:c>
      <x:c r="M20" s="10" t="str">
        <x:v>浅竹、茶绿、棉麻；山茶挂画独立轮廓；SSR只加环境细节</x:v>
      </x:c>
      <x:c r="N20" s="10" t="str">
        <x:v>待制作</x:v>
      </x:c>
    </x:row>
    <x:row r="21" ht="48" customHeight="1">
      <x:c r="A21" s="9" t="str">
        <x:v>F_02_7</x:v>
      </x:c>
      <x:c r="B21" s="9" t="str">
        <x:v>SET_02</x:v>
      </x:c>
      <x:c r="C21" s="9" t="str">
        <x:v>竹影草席</x:v>
      </x:c>
      <x:c r="D21" s="9" t="str">
        <x:v>SSR</x:v>
      </x:c>
      <x:c r="E21" s="9" t="str">
        <x:v>首发</x:v>
      </x:c>
      <x:c r="F21" s="9" t="str">
        <x:v>地毯</x:v>
      </x:c>
      <x:c r="G21" s="9" t="str">
        <x:v>金币</x:v>
      </x:c>
      <x:c r="H21" s="9" t="str">
        <x:v>花园币</x:v>
      </x:c>
      <x:c r="I21" s="9" t="n">
        <x:v>4000</x:v>
      </x:c>
      <x:c r="J21" s="9" t="str">
        <x:v>REG_02</x:v>
      </x:c>
      <x:c r="K21" s="9" t="str">
        <x:v>地区首访后金币货架永久开放</x:v>
      </x:c>
      <x:c r="L21" s="9" t="str">
        <x:v>先保留2件；第三件起R30/SR120/SSR300金币</x:v>
      </x:c>
      <x:c r="M21" s="9" t="str">
        <x:v>浅竹、茶绿、棉麻；竹影草席独立轮廓；SSR只加环境细节</x:v>
      </x:c>
      <x:c r="N21" s="9" t="str">
        <x:v>待制作</x:v>
      </x:c>
    </x:row>
    <x:row r="22" ht="48" customHeight="1">
      <x:c r="A22" s="10" t="str">
        <x:v>F_02_8</x:v>
      </x:c>
      <x:c r="B22" s="10" t="str">
        <x:v>SET_02</x:v>
      </x:c>
      <x:c r="C22" s="10" t="str">
        <x:v>雾山窗景</x:v>
      </x:c>
      <x:c r="D22" s="10" t="str">
        <x:v>SSR</x:v>
      </x:c>
      <x:c r="E22" s="10" t="str">
        <x:v>首发</x:v>
      </x:c>
      <x:c r="F22" s="10" t="str">
        <x:v>落地</x:v>
      </x:c>
      <x:c r="G22" s="10" t="str">
        <x:v>金币</x:v>
      </x:c>
      <x:c r="H22" s="10" t="str">
        <x:v>花园币</x:v>
      </x:c>
      <x:c r="I22" s="10" t="n">
        <x:v>6000</x:v>
      </x:c>
      <x:c r="J22" s="10" t="str">
        <x:v>REG_02</x:v>
      </x:c>
      <x:c r="K22" s="10" t="str">
        <x:v>地区首访后金币货架永久开放</x:v>
      </x:c>
      <x:c r="L22" s="10" t="str">
        <x:v>先保留2件；第三件起R30/SR120/SSR300金币</x:v>
      </x:c>
      <x:c r="M22" s="10" t="str">
        <x:v>浅竹、茶绿、棉麻；雾山窗景独立轮廓；SSR只加环境细节</x:v>
      </x:c>
      <x:c r="N22" s="10" t="str">
        <x:v>待制作</x:v>
      </x:c>
    </x:row>
    <x:row r="23" ht="48" customHeight="1">
      <x:c r="A23" s="9" t="str">
        <x:v>moss-stool</x:v>
      </x:c>
      <x:c r="B23" s="9" t="str">
        <x:v>SET_03</x:v>
      </x:c>
      <x:c r="C23" s="9" t="str">
        <x:v>苔绒小凳</x:v>
      </x:c>
      <x:c r="D23" s="9" t="str">
        <x:v>R</x:v>
      </x:c>
      <x:c r="E23" s="9" t="str">
        <x:v>首发</x:v>
      </x:c>
      <x:c r="F23" s="9" t="str">
        <x:v>落地</x:v>
      </x:c>
      <x:c r="G23" s="9" t="str">
        <x:v>补给</x:v>
      </x:c>
      <x:c r="H23" s="9" t="str">
        <x:v>补给池</x:v>
      </x:c>
      <x:c r="I23" s="9" t="n">
        <x:v>0</x:v>
      </x:c>
      <x:c r="J23" s="9" t="str">
        <x:v>REG_03</x:v>
      </x:c>
      <x:c r="K23" s="9" t="str">
        <x:v>入常驻补给池；见奖池条目</x:v>
      </x:c>
      <x:c r="L23" s="9" t="str">
        <x:v>先保留2件；第三件起R30/SR120/SSR300金币</x:v>
      </x:c>
      <x:c r="M23" s="9" t="str">
        <x:v>鼠尾草绿、黄铜、玻璃；苔绒小凳独立轮廓；SSR只加环境细节</x:v>
      </x:c>
      <x:c r="N23" s="9" t="str">
        <x:v>现有新美术可复用，正式投放待调</x:v>
      </x:c>
    </x:row>
    <x:row r="24" ht="48" customHeight="1">
      <x:c r="A24" s="10" t="str">
        <x:v>sprout-lamp</x:v>
      </x:c>
      <x:c r="B24" s="10" t="str">
        <x:v>SET_03</x:v>
      </x:c>
      <x:c r="C24" s="10" t="str">
        <x:v>铃兰落地灯</x:v>
      </x:c>
      <x:c r="D24" s="10" t="str">
        <x:v>R</x:v>
      </x:c>
      <x:c r="E24" s="10" t="str">
        <x:v>首发</x:v>
      </x:c>
      <x:c r="F24" s="10" t="str">
        <x:v>落地</x:v>
      </x:c>
      <x:c r="G24" s="10" t="str">
        <x:v>补给</x:v>
      </x:c>
      <x:c r="H24" s="10" t="str">
        <x:v>补给池</x:v>
      </x:c>
      <x:c r="I24" s="10" t="n">
        <x:v>0</x:v>
      </x:c>
      <x:c r="J24" s="10" t="str">
        <x:v>REG_03</x:v>
      </x:c>
      <x:c r="K24" s="10" t="str">
        <x:v>入常驻补给池；见奖池条目</x:v>
      </x:c>
      <x:c r="L24" s="10" t="str">
        <x:v>先保留2件；第三件起R30/SR120/SSR300金币</x:v>
      </x:c>
      <x:c r="M24" s="10" t="str">
        <x:v>鼠尾草绿、黄铜、玻璃；铃兰落地灯独立轮廓；SSR只加环境细节</x:v>
      </x:c>
      <x:c r="N24" s="10" t="str">
        <x:v>现有新美术可复用，正式投放待调</x:v>
      </x:c>
    </x:row>
    <x:row r="25" ht="48" customHeight="1">
      <x:c r="A25" s="9" t="str">
        <x:v>potting-shelf</x:v>
      </x:c>
      <x:c r="B25" s="9" t="str">
        <x:v>SET_03</x:v>
      </x:c>
      <x:c r="C25" s="9" t="str">
        <x:v>花匠置物架</x:v>
      </x:c>
      <x:c r="D25" s="9" t="str">
        <x:v>SR</x:v>
      </x:c>
      <x:c r="E25" s="9" t="str">
        <x:v>首发</x:v>
      </x:c>
      <x:c r="F25" s="9" t="str">
        <x:v>落地</x:v>
      </x:c>
      <x:c r="G25" s="9" t="str">
        <x:v>补给</x:v>
      </x:c>
      <x:c r="H25" s="9" t="str">
        <x:v>补给池</x:v>
      </x:c>
      <x:c r="I25" s="9" t="n">
        <x:v>0</x:v>
      </x:c>
      <x:c r="J25" s="9" t="str">
        <x:v>REG_03</x:v>
      </x:c>
      <x:c r="K25" s="9" t="str">
        <x:v>入常驻补给池；见奖池条目</x:v>
      </x:c>
      <x:c r="L25" s="9" t="str">
        <x:v>先保留2件；第三件起R30/SR120/SSR300金币</x:v>
      </x:c>
      <x:c r="M25" s="9" t="str">
        <x:v>鼠尾草绿、黄铜、玻璃；花匠置物架独立轮廓；SSR只加环境细节</x:v>
      </x:c>
      <x:c r="N25" s="9" t="str">
        <x:v>现有新美术可复用，正式投放待调</x:v>
      </x:c>
    </x:row>
    <x:row r="26" ht="48" customHeight="1">
      <x:c r="A26" s="10" t="str">
        <x:v>fern-bench</x:v>
      </x:c>
      <x:c r="B26" s="10" t="str">
        <x:v>SET_03</x:v>
      </x:c>
      <x:c r="C26" s="10" t="str">
        <x:v>蕨叶双人椅</x:v>
      </x:c>
      <x:c r="D26" s="10" t="str">
        <x:v>SR</x:v>
      </x:c>
      <x:c r="E26" s="10" t="str">
        <x:v>首发</x:v>
      </x:c>
      <x:c r="F26" s="10" t="str">
        <x:v>落地</x:v>
      </x:c>
      <x:c r="G26" s="10" t="str">
        <x:v>补给</x:v>
      </x:c>
      <x:c r="H26" s="10" t="str">
        <x:v>补给池</x:v>
      </x:c>
      <x:c r="I26" s="10" t="n">
        <x:v>0</x:v>
      </x:c>
      <x:c r="J26" s="10" t="str">
        <x:v>REG_03</x:v>
      </x:c>
      <x:c r="K26" s="10" t="str">
        <x:v>入常驻补给池；见奖池条目</x:v>
      </x:c>
      <x:c r="L26" s="10" t="str">
        <x:v>先保留2件；第三件起R30/SR120/SSR300金币</x:v>
      </x:c>
      <x:c r="M26" s="10" t="str">
        <x:v>鼠尾草绿、黄铜、玻璃；蕨叶双人椅独立轮廓；SSR只加环境细节</x:v>
      </x:c>
      <x:c r="N26" s="10" t="str">
        <x:v>现有新美术可复用，正式投放待调</x:v>
      </x:c>
    </x:row>
    <x:row r="27" ht="48" customHeight="1">
      <x:c r="A27" s="9" t="str">
        <x:v>moon-terrarium</x:v>
      </x:c>
      <x:c r="B27" s="9" t="str">
        <x:v>SET_03</x:v>
      </x:c>
      <x:c r="C27" s="9" t="str">
        <x:v>月光玻璃庭院</x:v>
      </x:c>
      <x:c r="D27" s="9" t="str">
        <x:v>SSR</x:v>
      </x:c>
      <x:c r="E27" s="9" t="str">
        <x:v>首发</x:v>
      </x:c>
      <x:c r="F27" s="9" t="str">
        <x:v>落地</x:v>
      </x:c>
      <x:c r="G27" s="9" t="str">
        <x:v>补给</x:v>
      </x:c>
      <x:c r="H27" s="9" t="str">
        <x:v>补给池</x:v>
      </x:c>
      <x:c r="I27" s="9" t="n">
        <x:v>0</x:v>
      </x:c>
      <x:c r="J27" s="9" t="str">
        <x:v>REG_03</x:v>
      </x:c>
      <x:c r="K27" s="9" t="str">
        <x:v>入常驻补给池；见奖池条目</x:v>
      </x:c>
      <x:c r="L27" s="9" t="str">
        <x:v>先保留2件；第三件起R30/SR120/SSR300金币</x:v>
      </x:c>
      <x:c r="M27" s="9" t="str">
        <x:v>鼠尾草绿、黄铜、玻璃；月光玻璃庭院独立轮廓；SSR只加环境细节</x:v>
      </x:c>
      <x:c r="N27" s="9" t="str">
        <x:v>现有新美术可复用，正式投放待调</x:v>
      </x:c>
    </x:row>
    <x:row r="28" ht="48" customHeight="1">
      <x:c r="A28" s="10" t="str">
        <x:v>cloud-fountain</x:v>
      </x:c>
      <x:c r="B28" s="10" t="str">
        <x:v>SET_03</x:v>
      </x:c>
      <x:c r="C28" s="10" t="str">
        <x:v>云朵叠泉</x:v>
      </x:c>
      <x:c r="D28" s="10" t="str">
        <x:v>SSR</x:v>
      </x:c>
      <x:c r="E28" s="10" t="str">
        <x:v>首发</x:v>
      </x:c>
      <x:c r="F28" s="10" t="str">
        <x:v>落地</x:v>
      </x:c>
      <x:c r="G28" s="10" t="str">
        <x:v>补给</x:v>
      </x:c>
      <x:c r="H28" s="10" t="str">
        <x:v>补给池</x:v>
      </x:c>
      <x:c r="I28" s="10" t="n">
        <x:v>0</x:v>
      </x:c>
      <x:c r="J28" s="10" t="str">
        <x:v>REG_03</x:v>
      </x:c>
      <x:c r="K28" s="10" t="str">
        <x:v>入常驻补给池；见奖池条目</x:v>
      </x:c>
      <x:c r="L28" s="10" t="str">
        <x:v>先保留2件；第三件起R30/SR120/SSR300金币</x:v>
      </x:c>
      <x:c r="M28" s="10" t="str">
        <x:v>鼠尾草绿、黄铜、玻璃；云朵叠泉独立轮廓；SSR只加环境细节</x:v>
      </x:c>
      <x:c r="N28" s="10" t="str">
        <x:v>现有新美术可复用，正式投放待调</x:v>
      </x:c>
    </x:row>
    <x:row r="29" ht="48" customHeight="1">
      <x:c r="A29" s="9" t="str">
        <x:v>F_03_7</x:v>
      </x:c>
      <x:c r="B29" s="9" t="str">
        <x:v>SET_03</x:v>
      </x:c>
      <x:c r="C29" s="9" t="str">
        <x:v>星叶地毯</x:v>
      </x:c>
      <x:c r="D29" s="9" t="str">
        <x:v>R</x:v>
      </x:c>
      <x:c r="E29" s="9" t="str">
        <x:v>首发</x:v>
      </x:c>
      <x:c r="F29" s="9" t="str">
        <x:v>地毯</x:v>
      </x:c>
      <x:c r="G29" s="9" t="str">
        <x:v>补给</x:v>
      </x:c>
      <x:c r="H29" s="9" t="str">
        <x:v>补给池</x:v>
      </x:c>
      <x:c r="I29" s="9" t="n">
        <x:v>0</x:v>
      </x:c>
      <x:c r="J29" s="9" t="str">
        <x:v>REG_03</x:v>
      </x:c>
      <x:c r="K29" s="9" t="str">
        <x:v>入常驻补给池；见奖池条目</x:v>
      </x:c>
      <x:c r="L29" s="9" t="str">
        <x:v>先保留2件；第三件起R30/SR120/SSR300金币</x:v>
      </x:c>
      <x:c r="M29" s="9" t="str">
        <x:v>鼠尾草绿、黄铜、玻璃；星叶地毯独立轮廓；SSR只加环境细节</x:v>
      </x:c>
      <x:c r="N29" s="9" t="str">
        <x:v>待制作</x:v>
      </x:c>
    </x:row>
    <x:row r="30" ht="48" customHeight="1">
      <x:c r="A30" s="10" t="str">
        <x:v>F_03_8</x:v>
      </x:c>
      <x:c r="B30" s="10" t="str">
        <x:v>SET_03</x:v>
      </x:c>
      <x:c r="C30" s="10" t="str">
        <x:v>月光花窗</x:v>
      </x:c>
      <x:c r="D30" s="10" t="str">
        <x:v>SR</x:v>
      </x:c>
      <x:c r="E30" s="10" t="str">
        <x:v>首发</x:v>
      </x:c>
      <x:c r="F30" s="10" t="str">
        <x:v>墙饰</x:v>
      </x:c>
      <x:c r="G30" s="10" t="str">
        <x:v>补给</x:v>
      </x:c>
      <x:c r="H30" s="10" t="str">
        <x:v>补给池</x:v>
      </x:c>
      <x:c r="I30" s="10" t="n">
        <x:v>0</x:v>
      </x:c>
      <x:c r="J30" s="10" t="str">
        <x:v>REG_03</x:v>
      </x:c>
      <x:c r="K30" s="10" t="str">
        <x:v>入常驻补给池；见奖池条目</x:v>
      </x:c>
      <x:c r="L30" s="10" t="str">
        <x:v>先保留2件；第三件起R30/SR120/SSR300金币</x:v>
      </x:c>
      <x:c r="M30" s="10" t="str">
        <x:v>鼠尾草绿、黄铜、玻璃；月光花窗独立轮廓；SSR只加环境细节</x:v>
      </x:c>
      <x:c r="N30" s="10" t="str">
        <x:v>待制作</x:v>
      </x:c>
    </x:row>
    <x:row r="31" ht="48" customHeight="1">
      <x:c r="A31" s="9" t="str">
        <x:v>F_04_1</x:v>
      </x:c>
      <x:c r="B31" s="9" t="str">
        <x:v>SET_04</x:v>
      </x:c>
      <x:c r="C31" s="9" t="str">
        <x:v>毛绒矮凳</x:v>
      </x:c>
      <x:c r="D31" s="9" t="str">
        <x:v>R</x:v>
      </x:c>
      <x:c r="E31" s="9" t="str">
        <x:v>首发</x:v>
      </x:c>
      <x:c r="F31" s="9" t="str">
        <x:v>落地</x:v>
      </x:c>
      <x:c r="G31" s="9" t="str">
        <x:v>金币</x:v>
      </x:c>
      <x:c r="H31" s="9" t="str">
        <x:v>花园币</x:v>
      </x:c>
      <x:c r="I31" s="9" t="n">
        <x:v>180</x:v>
      </x:c>
      <x:c r="J31" s="9" t="str">
        <x:v>REG_04</x:v>
      </x:c>
      <x:c r="K31" s="9" t="str">
        <x:v>地区首访后金币货架永久开放</x:v>
      </x:c>
      <x:c r="L31" s="9" t="str">
        <x:v>先保留2件；第三件起R30/SR120/SSR300金币</x:v>
      </x:c>
      <x:c r="M31" s="9" t="str">
        <x:v>白蜡木、针织、雪蓝；毛绒矮凳独立轮廓；SSR只加环境细节</x:v>
      </x:c>
      <x:c r="N31" s="9" t="str">
        <x:v>待制作</x:v>
      </x:c>
    </x:row>
    <x:row r="32" ht="48" customHeight="1">
      <x:c r="A32" s="10" t="str">
        <x:v>F_04_2</x:v>
      </x:c>
      <x:c r="B32" s="10" t="str">
        <x:v>SET_04</x:v>
      </x:c>
      <x:c r="C32" s="10" t="str">
        <x:v>雪晶立灯</x:v>
      </x:c>
      <x:c r="D32" s="10" t="str">
        <x:v>R</x:v>
      </x:c>
      <x:c r="E32" s="10" t="str">
        <x:v>首发</x:v>
      </x:c>
      <x:c r="F32" s="10" t="str">
        <x:v>落地</x:v>
      </x:c>
      <x:c r="G32" s="10" t="str">
        <x:v>金币</x:v>
      </x:c>
      <x:c r="H32" s="10" t="str">
        <x:v>花园币</x:v>
      </x:c>
      <x:c r="I32" s="10" t="n">
        <x:v>360</x:v>
      </x:c>
      <x:c r="J32" s="10" t="str">
        <x:v>REG_04</x:v>
      </x:c>
      <x:c r="K32" s="10" t="str">
        <x:v>地区首访后金币货架永久开放</x:v>
      </x:c>
      <x:c r="L32" s="10" t="str">
        <x:v>先保留2件；第三件起R30/SR120/SSR300金币</x:v>
      </x:c>
      <x:c r="M32" s="10" t="str">
        <x:v>白蜡木、针织、雪蓝；雪晶立灯独立轮廓；SSR只加环境细节</x:v>
      </x:c>
      <x:c r="N32" s="10" t="str">
        <x:v>待制作</x:v>
      </x:c>
    </x:row>
    <x:row r="33" ht="48" customHeight="1">
      <x:c r="A33" s="9" t="str">
        <x:v>F_04_3</x:v>
      </x:c>
      <x:c r="B33" s="9" t="str">
        <x:v>SET_04</x:v>
      </x:c>
      <x:c r="C33" s="9" t="str">
        <x:v>松木茶几</x:v>
      </x:c>
      <x:c r="D33" s="9" t="str">
        <x:v>R</x:v>
      </x:c>
      <x:c r="E33" s="9" t="str">
        <x:v>首发</x:v>
      </x:c>
      <x:c r="F33" s="9" t="str">
        <x:v>落地</x:v>
      </x:c>
      <x:c r="G33" s="9" t="str">
        <x:v>金币</x:v>
      </x:c>
      <x:c r="H33" s="9" t="str">
        <x:v>花园币</x:v>
      </x:c>
      <x:c r="I33" s="9" t="n">
        <x:v>600</x:v>
      </x:c>
      <x:c r="J33" s="9" t="str">
        <x:v>REG_04</x:v>
      </x:c>
      <x:c r="K33" s="9" t="str">
        <x:v>地区首访后金币货架永久开放</x:v>
      </x:c>
      <x:c r="L33" s="9" t="str">
        <x:v>先保留2件；第三件起R30/SR120/SSR300金币</x:v>
      </x:c>
      <x:c r="M33" s="9" t="str">
        <x:v>白蜡木、针织、雪蓝；松木茶几独立轮廓；SSR只加环境细节</x:v>
      </x:c>
      <x:c r="N33" s="9" t="str">
        <x:v>待制作</x:v>
      </x:c>
    </x:row>
    <x:row r="34" ht="48" customHeight="1">
      <x:c r="A34" s="10" t="str">
        <x:v>F_04_4</x:v>
      </x:c>
      <x:c r="B34" s="10" t="str">
        <x:v>SET_04</x:v>
      </x:c>
      <x:c r="C34" s="10" t="str">
        <x:v>针织双人椅</x:v>
      </x:c>
      <x:c r="D34" s="10" t="str">
        <x:v>SR</x:v>
      </x:c>
      <x:c r="E34" s="10" t="str">
        <x:v>首发</x:v>
      </x:c>
      <x:c r="F34" s="10" t="str">
        <x:v>落地</x:v>
      </x:c>
      <x:c r="G34" s="10" t="str">
        <x:v>见闻</x:v>
      </x:c>
      <x:c r="H34" s="10" t="str">
        <x:v>地区见闻</x:v>
      </x:c>
      <x:c r="I34" s="10" t="n">
        <x:v>0</x:v>
      </x:c>
      <x:c r="J34" s="10" t="str">
        <x:v>REG_04</x:v>
      </x:c>
      <x:c r="K34" s="10" t="str">
        <x:v>本地区6次普通旅行</x:v>
      </x:c>
      <x:c r="L34" s="10" t="str">
        <x:v>先保留2件；第三件起R30/SR120/SSR300金币</x:v>
      </x:c>
      <x:c r="M34" s="10" t="str">
        <x:v>白蜡木、针织、雪蓝；针织双人椅独立轮廓；SSR只加环境细节</x:v>
      </x:c>
      <x:c r="N34" s="10" t="str">
        <x:v>待制作</x:v>
      </x:c>
    </x:row>
    <x:row r="35" ht="48" customHeight="1">
      <x:c r="A35" s="9" t="str">
        <x:v>F_04_5</x:v>
      </x:c>
      <x:c r="B35" s="9" t="str">
        <x:v>SET_04</x:v>
      </x:c>
      <x:c r="C35" s="9" t="str">
        <x:v>雪原木柜</x:v>
      </x:c>
      <x:c r="D35" s="9" t="str">
        <x:v>SR</x:v>
      </x:c>
      <x:c r="E35" s="9" t="str">
        <x:v>首发</x:v>
      </x:c>
      <x:c r="F35" s="9" t="str">
        <x:v>落地</x:v>
      </x:c>
      <x:c r="G35" s="9" t="str">
        <x:v>见闻</x:v>
      </x:c>
      <x:c r="H35" s="9" t="str">
        <x:v>地区见闻</x:v>
      </x:c>
      <x:c r="I35" s="9" t="n">
        <x:v>0</x:v>
      </x:c>
      <x:c r="J35" s="9" t="str">
        <x:v>REG_04</x:v>
      </x:c>
      <x:c r="K35" s="9" t="str">
        <x:v>本地区6次普通旅行</x:v>
      </x:c>
      <x:c r="L35" s="9" t="str">
        <x:v>先保留2件；第三件起R30/SR120/SSR300金币</x:v>
      </x:c>
      <x:c r="M35" s="9" t="str">
        <x:v>白蜡木、针织、雪蓝；雪原木柜独立轮廓；SSR只加环境细节</x:v>
      </x:c>
      <x:c r="N35" s="9" t="str">
        <x:v>待制作</x:v>
      </x:c>
    </x:row>
    <x:row r="36" ht="48" customHeight="1">
      <x:c r="A36" s="10" t="str">
        <x:v>F_04_6</x:v>
      </x:c>
      <x:c r="B36" s="10" t="str">
        <x:v>SET_04</x:v>
      </x:c>
      <x:c r="C36" s="10" t="str">
        <x:v>霜花挂钟</x:v>
      </x:c>
      <x:c r="D36" s="10" t="str">
        <x:v>SR</x:v>
      </x:c>
      <x:c r="E36" s="10" t="str">
        <x:v>首发</x:v>
      </x:c>
      <x:c r="F36" s="10" t="str">
        <x:v>墙饰</x:v>
      </x:c>
      <x:c r="G36" s="10" t="str">
        <x:v>见闻</x:v>
      </x:c>
      <x:c r="H36" s="10" t="str">
        <x:v>地区见闻</x:v>
      </x:c>
      <x:c r="I36" s="10" t="n">
        <x:v>0</x:v>
      </x:c>
      <x:c r="J36" s="10" t="str">
        <x:v>REG_04</x:v>
      </x:c>
      <x:c r="K36" s="10" t="str">
        <x:v>本地区6次普通旅行</x:v>
      </x:c>
      <x:c r="L36" s="10" t="str">
        <x:v>先保留2件；第三件起R30/SR120/SSR300金币</x:v>
      </x:c>
      <x:c r="M36" s="10" t="str">
        <x:v>白蜡木、针织、雪蓝；霜花挂钟独立轮廓；SSR只加环境细节</x:v>
      </x:c>
      <x:c r="N36" s="10" t="str">
        <x:v>待制作</x:v>
      </x:c>
    </x:row>
    <x:row r="37" ht="48" customHeight="1">
      <x:c r="A37" s="9" t="str">
        <x:v>F_04_7</x:v>
      </x:c>
      <x:c r="B37" s="9" t="str">
        <x:v>SET_04</x:v>
      </x:c>
      <x:c r="C37" s="9" t="str">
        <x:v>雪绒圆毯</x:v>
      </x:c>
      <x:c r="D37" s="9" t="str">
        <x:v>SSR</x:v>
      </x:c>
      <x:c r="E37" s="9" t="str">
        <x:v>首发</x:v>
      </x:c>
      <x:c r="F37" s="9" t="str">
        <x:v>地毯</x:v>
      </x:c>
      <x:c r="G37" s="9" t="str">
        <x:v>见闻</x:v>
      </x:c>
      <x:c r="H37" s="9" t="str">
        <x:v>地区见闻</x:v>
      </x:c>
      <x:c r="I37" s="9" t="n">
        <x:v>0</x:v>
      </x:c>
      <x:c r="J37" s="9" t="str">
        <x:v>REG_04</x:v>
      </x:c>
      <x:c r="K37" s="9" t="str">
        <x:v>本地区12次普通旅行</x:v>
      </x:c>
      <x:c r="L37" s="9" t="str">
        <x:v>先保留2件；第三件起R30/SR120/SSR300金币</x:v>
      </x:c>
      <x:c r="M37" s="9" t="str">
        <x:v>白蜡木、针织、雪蓝；雪绒圆毯独立轮廓；SSR只加环境细节</x:v>
      </x:c>
      <x:c r="N37" s="9" t="str">
        <x:v>待制作</x:v>
      </x:c>
    </x:row>
    <x:row r="38" ht="48" customHeight="1">
      <x:c r="A38" s="10" t="str">
        <x:v>F_04_8</x:v>
      </x:c>
      <x:c r="B38" s="10" t="str">
        <x:v>SET_04</x:v>
      </x:c>
      <x:c r="C38" s="10" t="str">
        <x:v>暖炉雪景</x:v>
      </x:c>
      <x:c r="D38" s="10" t="str">
        <x:v>SSR</x:v>
      </x:c>
      <x:c r="E38" s="10" t="str">
        <x:v>首发</x:v>
      </x:c>
      <x:c r="F38" s="10" t="str">
        <x:v>落地</x:v>
      </x:c>
      <x:c r="G38" s="10" t="str">
        <x:v>见闻</x:v>
      </x:c>
      <x:c r="H38" s="10" t="str">
        <x:v>地区见闻</x:v>
      </x:c>
      <x:c r="I38" s="10" t="n">
        <x:v>0</x:v>
      </x:c>
      <x:c r="J38" s="10" t="str">
        <x:v>REG_04</x:v>
      </x:c>
      <x:c r="K38" s="10" t="str">
        <x:v>本地区12次普通旅行</x:v>
      </x:c>
      <x:c r="L38" s="10" t="str">
        <x:v>先保留2件；第三件起R30/SR120/SSR300金币</x:v>
      </x:c>
      <x:c r="M38" s="10" t="str">
        <x:v>白蜡木、针织、雪蓝；暖炉雪景独立轮廓；SSR只加环境细节</x:v>
      </x:c>
      <x:c r="N38" s="10" t="str">
        <x:v>待制作</x:v>
      </x:c>
    </x:row>
    <x:row r="39" ht="48" customHeight="1">
      <x:c r="A39" s="9" t="str">
        <x:v>F_05_1</x:v>
      </x:c>
      <x:c r="B39" s="9" t="str">
        <x:v>SET_05</x:v>
      </x:c>
      <x:c r="C39" s="9" t="str">
        <x:v>玫瑰圆凳</x:v>
      </x:c>
      <x:c r="D39" s="9" t="str">
        <x:v>R</x:v>
      </x:c>
      <x:c r="E39" s="9" t="str">
        <x:v>首发</x:v>
      </x:c>
      <x:c r="F39" s="9" t="str">
        <x:v>落地</x:v>
      </x:c>
      <x:c r="G39" s="9" t="str">
        <x:v>金币</x:v>
      </x:c>
      <x:c r="H39" s="9" t="str">
        <x:v>花园币</x:v>
      </x:c>
      <x:c r="I39" s="9" t="n">
        <x:v>180</x:v>
      </x:c>
      <x:c r="J39" s="9" t="str">
        <x:v>REG_05</x:v>
      </x:c>
      <x:c r="K39" s="9" t="str">
        <x:v>地区首访后金币货架永久开放</x:v>
      </x:c>
      <x:c r="L39" s="9" t="str">
        <x:v>先保留2件；第三件起R30/SR120/SSR300金币</x:v>
      </x:c>
      <x:c r="M39" s="9" t="str">
        <x:v>奶油白、玫瑰、法式花窗；玫瑰圆凳独立轮廓；SSR只加环境细节</x:v>
      </x:c>
      <x:c r="N39" s="9" t="str">
        <x:v>待制作</x:v>
      </x:c>
    </x:row>
    <x:row r="40" ht="48" customHeight="1">
      <x:c r="A40" s="10" t="str">
        <x:v>F_05_2</x:v>
      </x:c>
      <x:c r="B40" s="10" t="str">
        <x:v>SET_05</x:v>
      </x:c>
      <x:c r="C40" s="10" t="str">
        <x:v>花蕾立灯</x:v>
      </x:c>
      <x:c r="D40" s="10" t="str">
        <x:v>R</x:v>
      </x:c>
      <x:c r="E40" s="10" t="str">
        <x:v>首发</x:v>
      </x:c>
      <x:c r="F40" s="10" t="str">
        <x:v>落地</x:v>
      </x:c>
      <x:c r="G40" s="10" t="str">
        <x:v>金币</x:v>
      </x:c>
      <x:c r="H40" s="10" t="str">
        <x:v>花园币</x:v>
      </x:c>
      <x:c r="I40" s="10" t="n">
        <x:v>360</x:v>
      </x:c>
      <x:c r="J40" s="10" t="str">
        <x:v>REG_05</x:v>
      </x:c>
      <x:c r="K40" s="10" t="str">
        <x:v>地区首访后金币货架永久开放</x:v>
      </x:c>
      <x:c r="L40" s="10" t="str">
        <x:v>先保留2件；第三件起R30/SR120/SSR300金币</x:v>
      </x:c>
      <x:c r="M40" s="10" t="str">
        <x:v>奶油白、玫瑰、法式花窗；花蕾立灯独立轮廓；SSR只加环境细节</x:v>
      </x:c>
      <x:c r="N40" s="10" t="str">
        <x:v>待制作</x:v>
      </x:c>
    </x:row>
    <x:row r="41" ht="48" customHeight="1">
      <x:c r="A41" s="9" t="str">
        <x:v>F_05_3</x:v>
      </x:c>
      <x:c r="B41" s="9" t="str">
        <x:v>SET_05</x:v>
      </x:c>
      <x:c r="C41" s="9" t="str">
        <x:v>圆弧茶几</x:v>
      </x:c>
      <x:c r="D41" s="9" t="str">
        <x:v>R</x:v>
      </x:c>
      <x:c r="E41" s="9" t="str">
        <x:v>首发</x:v>
      </x:c>
      <x:c r="F41" s="9" t="str">
        <x:v>落地</x:v>
      </x:c>
      <x:c r="G41" s="9" t="str">
        <x:v>金币</x:v>
      </x:c>
      <x:c r="H41" s="9" t="str">
        <x:v>花园币</x:v>
      </x:c>
      <x:c r="I41" s="9" t="n">
        <x:v>600</x:v>
      </x:c>
      <x:c r="J41" s="9" t="str">
        <x:v>REG_05</x:v>
      </x:c>
      <x:c r="K41" s="9" t="str">
        <x:v>地区首访后金币货架永久开放</x:v>
      </x:c>
      <x:c r="L41" s="9" t="str">
        <x:v>先保留2件；第三件起R30/SR120/SSR300金币</x:v>
      </x:c>
      <x:c r="M41" s="9" t="str">
        <x:v>奶油白、玫瑰、法式花窗；圆弧茶几独立轮廓；SSR只加环境细节</x:v>
      </x:c>
      <x:c r="N41" s="9" t="str">
        <x:v>待制作</x:v>
      </x:c>
    </x:row>
    <x:row r="42" ht="48" customHeight="1">
      <x:c r="A42" s="10" t="str">
        <x:v>F_05_4</x:v>
      </x:c>
      <x:c r="B42" s="10" t="str">
        <x:v>SET_05</x:v>
      </x:c>
      <x:c r="C42" s="10" t="str">
        <x:v>丝绒双人椅</x:v>
      </x:c>
      <x:c r="D42" s="10" t="str">
        <x:v>SR</x:v>
      </x:c>
      <x:c r="E42" s="10" t="str">
        <x:v>首发</x:v>
      </x:c>
      <x:c r="F42" s="10" t="str">
        <x:v>落地</x:v>
      </x:c>
      <x:c r="G42" s="10" t="str">
        <x:v>金币</x:v>
      </x:c>
      <x:c r="H42" s="10" t="str">
        <x:v>花园币</x:v>
      </x:c>
      <x:c r="I42" s="10" t="n">
        <x:v>900</x:v>
      </x:c>
      <x:c r="J42" s="10" t="str">
        <x:v>REG_05</x:v>
      </x:c>
      <x:c r="K42" s="10" t="str">
        <x:v>地区首访后金币货架永久开放</x:v>
      </x:c>
      <x:c r="L42" s="10" t="str">
        <x:v>先保留2件；第三件起R30/SR120/SSR300金币</x:v>
      </x:c>
      <x:c r="M42" s="10" t="str">
        <x:v>奶油白、玫瑰、法式花窗；丝绒双人椅独立轮廓；SSR只加环境细节</x:v>
      </x:c>
      <x:c r="N42" s="10" t="str">
        <x:v>待制作</x:v>
      </x:c>
    </x:row>
    <x:row r="43" ht="48" customHeight="1">
      <x:c r="A43" s="9" t="str">
        <x:v>F_05_5</x:v>
      </x:c>
      <x:c r="B43" s="9" t="str">
        <x:v>SET_05</x:v>
      </x:c>
      <x:c r="C43" s="9" t="str">
        <x:v>花街书柜</x:v>
      </x:c>
      <x:c r="D43" s="9" t="str">
        <x:v>SR</x:v>
      </x:c>
      <x:c r="E43" s="9" t="str">
        <x:v>首发</x:v>
      </x:c>
      <x:c r="F43" s="9" t="str">
        <x:v>落地</x:v>
      </x:c>
      <x:c r="G43" s="9" t="str">
        <x:v>金币</x:v>
      </x:c>
      <x:c r="H43" s="9" t="str">
        <x:v>花园币</x:v>
      </x:c>
      <x:c r="I43" s="9" t="n">
        <x:v>1200</x:v>
      </x:c>
      <x:c r="J43" s="9" t="str">
        <x:v>REG_05</x:v>
      </x:c>
      <x:c r="K43" s="9" t="str">
        <x:v>地区首访后金币货架永久开放</x:v>
      </x:c>
      <x:c r="L43" s="9" t="str">
        <x:v>先保留2件；第三件起R30/SR120/SSR300金币</x:v>
      </x:c>
      <x:c r="M43" s="9" t="str">
        <x:v>奶油白、玫瑰、法式花窗；花街书柜独立轮廓；SSR只加环境细节</x:v>
      </x:c>
      <x:c r="N43" s="9" t="str">
        <x:v>待制作</x:v>
      </x:c>
    </x:row>
    <x:row r="44" ht="48" customHeight="1">
      <x:c r="A44" s="10" t="str">
        <x:v>F_05_6</x:v>
      </x:c>
      <x:c r="B44" s="10" t="str">
        <x:v>SET_05</x:v>
      </x:c>
      <x:c r="C44" s="10" t="str">
        <x:v>鸢尾挂画</x:v>
      </x:c>
      <x:c r="D44" s="10" t="str">
        <x:v>SR</x:v>
      </x:c>
      <x:c r="E44" s="10" t="str">
        <x:v>首发</x:v>
      </x:c>
      <x:c r="F44" s="10" t="str">
        <x:v>墙饰</x:v>
      </x:c>
      <x:c r="G44" s="10" t="str">
        <x:v>金币</x:v>
      </x:c>
      <x:c r="H44" s="10" t="str">
        <x:v>花园币</x:v>
      </x:c>
      <x:c r="I44" s="10" t="n">
        <x:v>1800</x:v>
      </x:c>
      <x:c r="J44" s="10" t="str">
        <x:v>REG_05</x:v>
      </x:c>
      <x:c r="K44" s="10" t="str">
        <x:v>地区首访后金币货架永久开放</x:v>
      </x:c>
      <x:c r="L44" s="10" t="str">
        <x:v>先保留2件；第三件起R30/SR120/SSR300金币</x:v>
      </x:c>
      <x:c r="M44" s="10" t="str">
        <x:v>奶油白、玫瑰、法式花窗；鸢尾挂画独立轮廓；SSR只加环境细节</x:v>
      </x:c>
      <x:c r="N44" s="10" t="str">
        <x:v>待制作</x:v>
      </x:c>
    </x:row>
    <x:row r="45" ht="48" customHeight="1">
      <x:c r="A45" s="9" t="str">
        <x:v>F_05_7</x:v>
      </x:c>
      <x:c r="B45" s="9" t="str">
        <x:v>SET_05</x:v>
      </x:c>
      <x:c r="C45" s="9" t="str">
        <x:v>花街编织毯</x:v>
      </x:c>
      <x:c r="D45" s="9" t="str">
        <x:v>SSR</x:v>
      </x:c>
      <x:c r="E45" s="9" t="str">
        <x:v>首发</x:v>
      </x:c>
      <x:c r="F45" s="9" t="str">
        <x:v>地毯</x:v>
      </x:c>
      <x:c r="G45" s="9" t="str">
        <x:v>金币</x:v>
      </x:c>
      <x:c r="H45" s="9" t="str">
        <x:v>花园币</x:v>
      </x:c>
      <x:c r="I45" s="9" t="n">
        <x:v>4000</x:v>
      </x:c>
      <x:c r="J45" s="9" t="str">
        <x:v>REG_05</x:v>
      </x:c>
      <x:c r="K45" s="9" t="str">
        <x:v>地区首访后金币货架永久开放</x:v>
      </x:c>
      <x:c r="L45" s="9" t="str">
        <x:v>先保留2件；第三件起R30/SR120/SSR300金币</x:v>
      </x:c>
      <x:c r="M45" s="9" t="str">
        <x:v>奶油白、玫瑰、法式花窗；花街编织毯独立轮廓；SSR只加环境细节</x:v>
      </x:c>
      <x:c r="N45" s="9" t="str">
        <x:v>待制作</x:v>
      </x:c>
    </x:row>
    <x:row r="46" ht="48" customHeight="1">
      <x:c r="A46" s="10" t="str">
        <x:v>F_05_8</x:v>
      </x:c>
      <x:c r="B46" s="10" t="str">
        <x:v>SET_05</x:v>
      </x:c>
      <x:c r="C46" s="10" t="str">
        <x:v>午后花窗</x:v>
      </x:c>
      <x:c r="D46" s="10" t="str">
        <x:v>SSR</x:v>
      </x:c>
      <x:c r="E46" s="10" t="str">
        <x:v>首发</x:v>
      </x:c>
      <x:c r="F46" s="10" t="str">
        <x:v>落地</x:v>
      </x:c>
      <x:c r="G46" s="10" t="str">
        <x:v>金币</x:v>
      </x:c>
      <x:c r="H46" s="10" t="str">
        <x:v>花园币</x:v>
      </x:c>
      <x:c r="I46" s="10" t="n">
        <x:v>6000</x:v>
      </x:c>
      <x:c r="J46" s="10" t="str">
        <x:v>REG_05</x:v>
      </x:c>
      <x:c r="K46" s="10" t="str">
        <x:v>地区首访后金币货架永久开放</x:v>
      </x:c>
      <x:c r="L46" s="10" t="str">
        <x:v>先保留2件；第三件起R30/SR120/SSR300金币</x:v>
      </x:c>
      <x:c r="M46" s="10" t="str">
        <x:v>奶油白、玫瑰、法式花窗；午后花窗独立轮廓；SSR只加环境细节</x:v>
      </x:c>
      <x:c r="N46" s="10" t="str">
        <x:v>待制作</x:v>
      </x:c>
    </x:row>
    <x:row r="47" ht="48" customHeight="1">
      <x:c r="A47" s="9" t="str">
        <x:v>F_06_1</x:v>
      </x:c>
      <x:c r="B47" s="9" t="str">
        <x:v>SET_06</x:v>
      </x:c>
      <x:c r="C47" s="9" t="str">
        <x:v>麦穗软凳</x:v>
      </x:c>
      <x:c r="D47" s="9" t="str">
        <x:v>R</x:v>
      </x:c>
      <x:c r="E47" s="9" t="str">
        <x:v>首发</x:v>
      </x:c>
      <x:c r="F47" s="9" t="str">
        <x:v>落地</x:v>
      </x:c>
      <x:c r="G47" s="9" t="str">
        <x:v>金币</x:v>
      </x:c>
      <x:c r="H47" s="9" t="str">
        <x:v>花园币</x:v>
      </x:c>
      <x:c r="I47" s="9" t="n">
        <x:v>180</x:v>
      </x:c>
      <x:c r="J47" s="9" t="str">
        <x:v>REG_06</x:v>
      </x:c>
      <x:c r="K47" s="9" t="str">
        <x:v>地区首访后金币货架永久开放</x:v>
      </x:c>
      <x:c r="L47" s="9" t="str">
        <x:v>先保留2件；第三件起R30/SR120/SSR300金币</x:v>
      </x:c>
      <x:c r="M47" s="9" t="str">
        <x:v>紫穗、麦色、藤编；麦穗软凳独立轮廓；SSR只加环境细节</x:v>
      </x:c>
      <x:c r="N47" s="9" t="str">
        <x:v>待制作</x:v>
      </x:c>
    </x:row>
    <x:row r="48" ht="48" customHeight="1">
      <x:c r="A48" s="10" t="str">
        <x:v>F_06_2</x:v>
      </x:c>
      <x:c r="B48" s="10" t="str">
        <x:v>SET_06</x:v>
      </x:c>
      <x:c r="C48" s="10" t="str">
        <x:v>紫穗风灯</x:v>
      </x:c>
      <x:c r="D48" s="10" t="str">
        <x:v>R</x:v>
      </x:c>
      <x:c r="E48" s="10" t="str">
        <x:v>首发</x:v>
      </x:c>
      <x:c r="F48" s="10" t="str">
        <x:v>落地</x:v>
      </x:c>
      <x:c r="G48" s="10" t="str">
        <x:v>金币</x:v>
      </x:c>
      <x:c r="H48" s="10" t="str">
        <x:v>花园币</x:v>
      </x:c>
      <x:c r="I48" s="10" t="n">
        <x:v>360</x:v>
      </x:c>
      <x:c r="J48" s="10" t="str">
        <x:v>REG_06</x:v>
      </x:c>
      <x:c r="K48" s="10" t="str">
        <x:v>地区首访后金币货架永久开放</x:v>
      </x:c>
      <x:c r="L48" s="10" t="str">
        <x:v>先保留2件；第三件起R30/SR120/SSR300金币</x:v>
      </x:c>
      <x:c r="M48" s="10" t="str">
        <x:v>紫穗、麦色、藤编；紫穗风灯独立轮廓；SSR只加环境细节</x:v>
      </x:c>
      <x:c r="N48" s="10" t="str">
        <x:v>待制作</x:v>
      </x:c>
    </x:row>
    <x:row r="49" ht="48" customHeight="1">
      <x:c r="A49" s="9" t="str">
        <x:v>F_06_3</x:v>
      </x:c>
      <x:c r="B49" s="9" t="str">
        <x:v>SET_06</x:v>
      </x:c>
      <x:c r="C49" s="9" t="str">
        <x:v>田园方桌</x:v>
      </x:c>
      <x:c r="D49" s="9" t="str">
        <x:v>R</x:v>
      </x:c>
      <x:c r="E49" s="9" t="str">
        <x:v>首发</x:v>
      </x:c>
      <x:c r="F49" s="9" t="str">
        <x:v>落地</x:v>
      </x:c>
      <x:c r="G49" s="9" t="str">
        <x:v>金币</x:v>
      </x:c>
      <x:c r="H49" s="9" t="str">
        <x:v>花园币</x:v>
      </x:c>
      <x:c r="I49" s="9" t="n">
        <x:v>600</x:v>
      </x:c>
      <x:c r="J49" s="9" t="str">
        <x:v>REG_06</x:v>
      </x:c>
      <x:c r="K49" s="9" t="str">
        <x:v>地区首访后金币货架永久开放</x:v>
      </x:c>
      <x:c r="L49" s="9" t="str">
        <x:v>先保留2件；第三件起R30/SR120/SSR300金币</x:v>
      </x:c>
      <x:c r="M49" s="9" t="str">
        <x:v>紫穗、麦色、藤编；田园方桌独立轮廓；SSR只加环境细节</x:v>
      </x:c>
      <x:c r="N49" s="9" t="str">
        <x:v>待制作</x:v>
      </x:c>
    </x:row>
    <x:row r="50" ht="48" customHeight="1">
      <x:c r="A50" s="10" t="str">
        <x:v>F_06_4</x:v>
      </x:c>
      <x:c r="B50" s="10" t="str">
        <x:v>SET_06</x:v>
      </x:c>
      <x:c r="C50" s="10" t="str">
        <x:v>藤编长椅</x:v>
      </x:c>
      <x:c r="D50" s="10" t="str">
        <x:v>SR</x:v>
      </x:c>
      <x:c r="E50" s="10" t="str">
        <x:v>首发</x:v>
      </x:c>
      <x:c r="F50" s="10" t="str">
        <x:v>落地</x:v>
      </x:c>
      <x:c r="G50" s="10" t="str">
        <x:v>见闻</x:v>
      </x:c>
      <x:c r="H50" s="10" t="str">
        <x:v>地区见闻</x:v>
      </x:c>
      <x:c r="I50" s="10" t="n">
        <x:v>0</x:v>
      </x:c>
      <x:c r="J50" s="10" t="str">
        <x:v>REG_06</x:v>
      </x:c>
      <x:c r="K50" s="10" t="str">
        <x:v>本地区6次普通旅行</x:v>
      </x:c>
      <x:c r="L50" s="10" t="str">
        <x:v>先保留2件；第三件起R30/SR120/SSR300金币</x:v>
      </x:c>
      <x:c r="M50" s="10" t="str">
        <x:v>紫穗、麦色、藤编；藤编长椅独立轮廓；SSR只加环境细节</x:v>
      </x:c>
      <x:c r="N50" s="10" t="str">
        <x:v>待制作</x:v>
      </x:c>
    </x:row>
    <x:row r="51" ht="48" customHeight="1">
      <x:c r="A51" s="9" t="str">
        <x:v>F_06_5</x:v>
      </x:c>
      <x:c r="B51" s="9" t="str">
        <x:v>SET_06</x:v>
      </x:c>
      <x:c r="C51" s="9" t="str">
        <x:v>干花陈列柜</x:v>
      </x:c>
      <x:c r="D51" s="9" t="str">
        <x:v>SR</x:v>
      </x:c>
      <x:c r="E51" s="9" t="str">
        <x:v>首发</x:v>
      </x:c>
      <x:c r="F51" s="9" t="str">
        <x:v>落地</x:v>
      </x:c>
      <x:c r="G51" s="9" t="str">
        <x:v>见闻</x:v>
      </x:c>
      <x:c r="H51" s="9" t="str">
        <x:v>地区见闻</x:v>
      </x:c>
      <x:c r="I51" s="9" t="n">
        <x:v>0</x:v>
      </x:c>
      <x:c r="J51" s="9" t="str">
        <x:v>REG_06</x:v>
      </x:c>
      <x:c r="K51" s="9" t="str">
        <x:v>本地区6次普通旅行</x:v>
      </x:c>
      <x:c r="L51" s="9" t="str">
        <x:v>先保留2件；第三件起R30/SR120/SSR300金币</x:v>
      </x:c>
      <x:c r="M51" s="9" t="str">
        <x:v>紫穗、麦色、藤编；干花陈列柜独立轮廓；SSR只加环境细节</x:v>
      </x:c>
      <x:c r="N51" s="9" t="str">
        <x:v>待制作</x:v>
      </x:c>
    </x:row>
    <x:row r="52" ht="48" customHeight="1">
      <x:c r="A52" s="10" t="str">
        <x:v>F_06_6</x:v>
      </x:c>
      <x:c r="B52" s="10" t="str">
        <x:v>SET_06</x:v>
      </x:c>
      <x:c r="C52" s="10" t="str">
        <x:v>薰衣草花环</x:v>
      </x:c>
      <x:c r="D52" s="10" t="str">
        <x:v>SR</x:v>
      </x:c>
      <x:c r="E52" s="10" t="str">
        <x:v>首发</x:v>
      </x:c>
      <x:c r="F52" s="10" t="str">
        <x:v>墙饰</x:v>
      </x:c>
      <x:c r="G52" s="10" t="str">
        <x:v>见闻</x:v>
      </x:c>
      <x:c r="H52" s="10" t="str">
        <x:v>地区见闻</x:v>
      </x:c>
      <x:c r="I52" s="10" t="n">
        <x:v>0</x:v>
      </x:c>
      <x:c r="J52" s="10" t="str">
        <x:v>REG_06</x:v>
      </x:c>
      <x:c r="K52" s="10" t="str">
        <x:v>本地区6次普通旅行</x:v>
      </x:c>
      <x:c r="L52" s="10" t="str">
        <x:v>先保留2件；第三件起R30/SR120/SSR300金币</x:v>
      </x:c>
      <x:c r="M52" s="10" t="str">
        <x:v>紫穗、麦色、藤编；薰衣草花环独立轮廓；SSR只加环境细节</x:v>
      </x:c>
      <x:c r="N52" s="10" t="str">
        <x:v>待制作</x:v>
      </x:c>
    </x:row>
    <x:row r="53" ht="48" customHeight="1">
      <x:c r="A53" s="9" t="str">
        <x:v>F_06_7</x:v>
      </x:c>
      <x:c r="B53" s="9" t="str">
        <x:v>SET_06</x:v>
      </x:c>
      <x:c r="C53" s="9" t="str">
        <x:v>麦色地毯</x:v>
      </x:c>
      <x:c r="D53" s="9" t="str">
        <x:v>SSR</x:v>
      </x:c>
      <x:c r="E53" s="9" t="str">
        <x:v>首发</x:v>
      </x:c>
      <x:c r="F53" s="9" t="str">
        <x:v>地毯</x:v>
      </x:c>
      <x:c r="G53" s="9" t="str">
        <x:v>见闻</x:v>
      </x:c>
      <x:c r="H53" s="9" t="str">
        <x:v>地区见闻</x:v>
      </x:c>
      <x:c r="I53" s="9" t="n">
        <x:v>0</x:v>
      </x:c>
      <x:c r="J53" s="9" t="str">
        <x:v>REG_06</x:v>
      </x:c>
      <x:c r="K53" s="9" t="str">
        <x:v>本地区12次普通旅行</x:v>
      </x:c>
      <x:c r="L53" s="9" t="str">
        <x:v>先保留2件；第三件起R30/SR120/SSR300金币</x:v>
      </x:c>
      <x:c r="M53" s="9" t="str">
        <x:v>紫穗、麦色、藤编；麦色地毯独立轮廓；SSR只加环境细节</x:v>
      </x:c>
      <x:c r="N53" s="9" t="str">
        <x:v>待制作</x:v>
      </x:c>
    </x:row>
    <x:row r="54" ht="48" customHeight="1">
      <x:c r="A54" s="10" t="str">
        <x:v>F_06_8</x:v>
      </x:c>
      <x:c r="B54" s="10" t="str">
        <x:v>SET_06</x:v>
      </x:c>
      <x:c r="C54" s="10" t="str">
        <x:v>紫穗风车</x:v>
      </x:c>
      <x:c r="D54" s="10" t="str">
        <x:v>SSR</x:v>
      </x:c>
      <x:c r="E54" s="10" t="str">
        <x:v>首发</x:v>
      </x:c>
      <x:c r="F54" s="10" t="str">
        <x:v>落地</x:v>
      </x:c>
      <x:c r="G54" s="10" t="str">
        <x:v>见闻</x:v>
      </x:c>
      <x:c r="H54" s="10" t="str">
        <x:v>地区见闻</x:v>
      </x:c>
      <x:c r="I54" s="10" t="n">
        <x:v>0</x:v>
      </x:c>
      <x:c r="J54" s="10" t="str">
        <x:v>REG_06</x:v>
      </x:c>
      <x:c r="K54" s="10" t="str">
        <x:v>本地区12次普通旅行</x:v>
      </x:c>
      <x:c r="L54" s="10" t="str">
        <x:v>先保留2件；第三件起R30/SR120/SSR300金币</x:v>
      </x:c>
      <x:c r="M54" s="10" t="str">
        <x:v>紫穗、麦色、藤编；紫穗风车独立轮廓；SSR只加环境细节</x:v>
      </x:c>
      <x:c r="N54" s="10" t="str">
        <x:v>待制作</x:v>
      </x:c>
    </x:row>
    <x:row r="55" ht="48" customHeight="1">
      <x:c r="A55" s="9" t="str">
        <x:v>F_07_1</x:v>
      </x:c>
      <x:c r="B55" s="9" t="str">
        <x:v>SET_07</x:v>
      </x:c>
      <x:c r="C55" s="9" t="str">
        <x:v>花苞坐墩</x:v>
      </x:c>
      <x:c r="D55" s="9" t="str">
        <x:v>R</x:v>
      </x:c>
      <x:c r="E55" s="9" t="str">
        <x:v>首发</x:v>
      </x:c>
      <x:c r="F55" s="9" t="str">
        <x:v>落地</x:v>
      </x:c>
      <x:c r="G55" s="9" t="str">
        <x:v>补给</x:v>
      </x:c>
      <x:c r="H55" s="9" t="str">
        <x:v>补给池</x:v>
      </x:c>
      <x:c r="I55" s="9" t="n">
        <x:v>0</x:v>
      </x:c>
      <x:c r="J55" s="9" t="str">
        <x:v>REG_07</x:v>
      </x:c>
      <x:c r="K55" s="9" t="str">
        <x:v>入常驻补给池；见奖池条目</x:v>
      </x:c>
      <x:c r="L55" s="9" t="str">
        <x:v>先保留2件；第三件起R30/SR120/SSR300金币</x:v>
      </x:c>
      <x:c r="M55" s="9" t="str">
        <x:v>珊瑚红、乳白、郁金香；花苞坐墩独立轮廓；SSR只加环境细节</x:v>
      </x:c>
      <x:c r="N55" s="9" t="str">
        <x:v>待制作</x:v>
      </x:c>
    </x:row>
    <x:row r="56" ht="48" customHeight="1">
      <x:c r="A56" s="10" t="str">
        <x:v>F_07_2</x:v>
      </x:c>
      <x:c r="B56" s="10" t="str">
        <x:v>SET_07</x:v>
      </x:c>
      <x:c r="C56" s="10" t="str">
        <x:v>郁金立灯</x:v>
      </x:c>
      <x:c r="D56" s="10" t="str">
        <x:v>R</x:v>
      </x:c>
      <x:c r="E56" s="10" t="str">
        <x:v>首发</x:v>
      </x:c>
      <x:c r="F56" s="10" t="str">
        <x:v>落地</x:v>
      </x:c>
      <x:c r="G56" s="10" t="str">
        <x:v>补给</x:v>
      </x:c>
      <x:c r="H56" s="10" t="str">
        <x:v>补给池</x:v>
      </x:c>
      <x:c r="I56" s="10" t="n">
        <x:v>0</x:v>
      </x:c>
      <x:c r="J56" s="10" t="str">
        <x:v>REG_07</x:v>
      </x:c>
      <x:c r="K56" s="10" t="str">
        <x:v>入常驻补给池；见奖池条目</x:v>
      </x:c>
      <x:c r="L56" s="10" t="str">
        <x:v>先保留2件；第三件起R30/SR120/SSR300金币</x:v>
      </x:c>
      <x:c r="M56" s="10" t="str">
        <x:v>珊瑚红、乳白、郁金香；郁金立灯独立轮廓；SSR只加环境细节</x:v>
      </x:c>
      <x:c r="N56" s="10" t="str">
        <x:v>待制作</x:v>
      </x:c>
    </x:row>
    <x:row r="57" ht="48" customHeight="1">
      <x:c r="A57" s="9" t="str">
        <x:v>F_07_3</x:v>
      </x:c>
      <x:c r="B57" s="9" t="str">
        <x:v>SET_07</x:v>
      </x:c>
      <x:c r="C57" s="9" t="str">
        <x:v>花港小桌</x:v>
      </x:c>
      <x:c r="D57" s="9" t="str">
        <x:v>R</x:v>
      </x:c>
      <x:c r="E57" s="9" t="str">
        <x:v>首发</x:v>
      </x:c>
      <x:c r="F57" s="9" t="str">
        <x:v>落地</x:v>
      </x:c>
      <x:c r="G57" s="9" t="str">
        <x:v>补给</x:v>
      </x:c>
      <x:c r="H57" s="9" t="str">
        <x:v>补给池</x:v>
      </x:c>
      <x:c r="I57" s="9" t="n">
        <x:v>0</x:v>
      </x:c>
      <x:c r="J57" s="9" t="str">
        <x:v>REG_07</x:v>
      </x:c>
      <x:c r="K57" s="9" t="str">
        <x:v>入常驻补给池；见奖池条目</x:v>
      </x:c>
      <x:c r="L57" s="9" t="str">
        <x:v>先保留2件；第三件起R30/SR120/SSR300金币</x:v>
      </x:c>
      <x:c r="M57" s="9" t="str">
        <x:v>珊瑚红、乳白、郁金香；花港小桌独立轮廓；SSR只加环境细节</x:v>
      </x:c>
      <x:c r="N57" s="9" t="str">
        <x:v>待制作</x:v>
      </x:c>
    </x:row>
    <x:row r="58" ht="48" customHeight="1">
      <x:c r="A58" s="10" t="str">
        <x:v>F_07_4</x:v>
      </x:c>
      <x:c r="B58" s="10" t="str">
        <x:v>SET_07</x:v>
      </x:c>
      <x:c r="C58" s="10" t="str">
        <x:v>花瓣长椅</x:v>
      </x:c>
      <x:c r="D58" s="10" t="str">
        <x:v>SR</x:v>
      </x:c>
      <x:c r="E58" s="10" t="str">
        <x:v>首发</x:v>
      </x:c>
      <x:c r="F58" s="10" t="str">
        <x:v>落地</x:v>
      </x:c>
      <x:c r="G58" s="10" t="str">
        <x:v>补给</x:v>
      </x:c>
      <x:c r="H58" s="10" t="str">
        <x:v>补给池</x:v>
      </x:c>
      <x:c r="I58" s="10" t="n">
        <x:v>0</x:v>
      </x:c>
      <x:c r="J58" s="10" t="str">
        <x:v>REG_07</x:v>
      </x:c>
      <x:c r="K58" s="10" t="str">
        <x:v>入常驻补给池；见奖池条目</x:v>
      </x:c>
      <x:c r="L58" s="10" t="str">
        <x:v>先保留2件；第三件起R30/SR120/SSR300金币</x:v>
      </x:c>
      <x:c r="M58" s="10" t="str">
        <x:v>珊瑚红、乳白、郁金香；花瓣长椅独立轮廓；SSR只加环境细节</x:v>
      </x:c>
      <x:c r="N58" s="10" t="str">
        <x:v>待制作</x:v>
      </x:c>
    </x:row>
    <x:row r="59" ht="48" customHeight="1">
      <x:c r="A59" s="9" t="str">
        <x:v>F_07_5</x:v>
      </x:c>
      <x:c r="B59" s="9" t="str">
        <x:v>SET_07</x:v>
      </x:c>
      <x:c r="C59" s="9" t="str">
        <x:v>球根展示架</x:v>
      </x:c>
      <x:c r="D59" s="9" t="str">
        <x:v>SR</x:v>
      </x:c>
      <x:c r="E59" s="9" t="str">
        <x:v>首发</x:v>
      </x:c>
      <x:c r="F59" s="9" t="str">
        <x:v>落地</x:v>
      </x:c>
      <x:c r="G59" s="9" t="str">
        <x:v>补给</x:v>
      </x:c>
      <x:c r="H59" s="9" t="str">
        <x:v>补给池</x:v>
      </x:c>
      <x:c r="I59" s="9" t="n">
        <x:v>0</x:v>
      </x:c>
      <x:c r="J59" s="9" t="str">
        <x:v>REG_07</x:v>
      </x:c>
      <x:c r="K59" s="9" t="str">
        <x:v>入常驻补给池；见奖池条目</x:v>
      </x:c>
      <x:c r="L59" s="9" t="str">
        <x:v>先保留2件；第三件起R30/SR120/SSR300金币</x:v>
      </x:c>
      <x:c r="M59" s="9" t="str">
        <x:v>珊瑚红、乳白、郁金香；球根展示架独立轮廓；SSR只加环境细节</x:v>
      </x:c>
      <x:c r="N59" s="9" t="str">
        <x:v>待制作</x:v>
      </x:c>
    </x:row>
    <x:row r="60" ht="48" customHeight="1">
      <x:c r="A60" s="10" t="str">
        <x:v>F_07_6</x:v>
      </x:c>
      <x:c r="B60" s="10" t="str">
        <x:v>SET_07</x:v>
      </x:c>
      <x:c r="C60" s="10" t="str">
        <x:v>彩边花窗</x:v>
      </x:c>
      <x:c r="D60" s="10" t="str">
        <x:v>SR</x:v>
      </x:c>
      <x:c r="E60" s="10" t="str">
        <x:v>首发</x:v>
      </x:c>
      <x:c r="F60" s="10" t="str">
        <x:v>墙饰</x:v>
      </x:c>
      <x:c r="G60" s="10" t="str">
        <x:v>补给</x:v>
      </x:c>
      <x:c r="H60" s="10" t="str">
        <x:v>补给池</x:v>
      </x:c>
      <x:c r="I60" s="10" t="n">
        <x:v>0</x:v>
      </x:c>
      <x:c r="J60" s="10" t="str">
        <x:v>REG_07</x:v>
      </x:c>
      <x:c r="K60" s="10" t="str">
        <x:v>入常驻补给池；见奖池条目</x:v>
      </x:c>
      <x:c r="L60" s="10" t="str">
        <x:v>先保留2件；第三件起R30/SR120/SSR300金币</x:v>
      </x:c>
      <x:c r="M60" s="10" t="str">
        <x:v>珊瑚红、乳白、郁金香；彩边花窗独立轮廓；SSR只加环境细节</x:v>
      </x:c>
      <x:c r="N60" s="10" t="str">
        <x:v>待制作</x:v>
      </x:c>
    </x:row>
    <x:row r="61" ht="48" customHeight="1">
      <x:c r="A61" s="9" t="str">
        <x:v>F_07_7</x:v>
      </x:c>
      <x:c r="B61" s="9" t="str">
        <x:v>SET_07</x:v>
      </x:c>
      <x:c r="C61" s="9" t="str">
        <x:v>花田方毯</x:v>
      </x:c>
      <x:c r="D61" s="9" t="str">
        <x:v>SSR</x:v>
      </x:c>
      <x:c r="E61" s="9" t="str">
        <x:v>首发</x:v>
      </x:c>
      <x:c r="F61" s="9" t="str">
        <x:v>地毯</x:v>
      </x:c>
      <x:c r="G61" s="9" t="str">
        <x:v>补给</x:v>
      </x:c>
      <x:c r="H61" s="9" t="str">
        <x:v>补给池</x:v>
      </x:c>
      <x:c r="I61" s="9" t="n">
        <x:v>0</x:v>
      </x:c>
      <x:c r="J61" s="9" t="str">
        <x:v>REG_07</x:v>
      </x:c>
      <x:c r="K61" s="9" t="str">
        <x:v>入常驻补给池；见奖池条目</x:v>
      </x:c>
      <x:c r="L61" s="9" t="str">
        <x:v>先保留2件；第三件起R30/SR120/SSR300金币</x:v>
      </x:c>
      <x:c r="M61" s="9" t="str">
        <x:v>珊瑚红、乳白、郁金香；花田方毯独立轮廓；SSR只加环境细节</x:v>
      </x:c>
      <x:c r="N61" s="9" t="str">
        <x:v>待制作</x:v>
      </x:c>
    </x:row>
    <x:row r="62" ht="48" customHeight="1">
      <x:c r="A62" s="10" t="str">
        <x:v>F_07_8</x:v>
      </x:c>
      <x:c r="B62" s="10" t="str">
        <x:v>SET_07</x:v>
      </x:c>
      <x:c r="C62" s="10" t="str">
        <x:v>小型风车</x:v>
      </x:c>
      <x:c r="D62" s="10" t="str">
        <x:v>SSR</x:v>
      </x:c>
      <x:c r="E62" s="10" t="str">
        <x:v>首发</x:v>
      </x:c>
      <x:c r="F62" s="10" t="str">
        <x:v>落地</x:v>
      </x:c>
      <x:c r="G62" s="10" t="str">
        <x:v>补给</x:v>
      </x:c>
      <x:c r="H62" s="10" t="str">
        <x:v>补给池</x:v>
      </x:c>
      <x:c r="I62" s="10" t="n">
        <x:v>0</x:v>
      </x:c>
      <x:c r="J62" s="10" t="str">
        <x:v>REG_07</x:v>
      </x:c>
      <x:c r="K62" s="10" t="str">
        <x:v>入常驻补给池；见奖池条目</x:v>
      </x:c>
      <x:c r="L62" s="10" t="str">
        <x:v>先保留2件；第三件起R30/SR120/SSR300金币</x:v>
      </x:c>
      <x:c r="M62" s="10" t="str">
        <x:v>珊瑚红、乳白、郁金香；小型风车独立轮廓；SSR只加环境细节</x:v>
      </x:c>
      <x:c r="N62" s="10" t="str">
        <x:v>待制作</x:v>
      </x:c>
    </x:row>
    <x:row r="63" ht="48" customHeight="1">
      <x:c r="A63" s="9" t="str">
        <x:v>F_08_1</x:v>
      </x:c>
      <x:c r="B63" s="9" t="str">
        <x:v>SET_08</x:v>
      </x:c>
      <x:c r="C63" s="9" t="str">
        <x:v>山石矮凳</x:v>
      </x:c>
      <x:c r="D63" s="9" t="str">
        <x:v>R</x:v>
      </x:c>
      <x:c r="E63" s="9" t="str">
        <x:v>首发</x:v>
      </x:c>
      <x:c r="F63" s="9" t="str">
        <x:v>落地</x:v>
      </x:c>
      <x:c r="G63" s="9" t="str">
        <x:v>金币</x:v>
      </x:c>
      <x:c r="H63" s="9" t="str">
        <x:v>花园币</x:v>
      </x:c>
      <x:c r="I63" s="9" t="n">
        <x:v>180</x:v>
      </x:c>
      <x:c r="J63" s="9" t="str">
        <x:v>REG_08</x:v>
      </x:c>
      <x:c r="K63" s="9" t="str">
        <x:v>地区首访后金币货架永久开放</x:v>
      </x:c>
      <x:c r="L63" s="9" t="str">
        <x:v>先保留2件；第三件起R30/SR120/SSR300金币</x:v>
      </x:c>
      <x:c r="M63" s="9" t="str">
        <x:v>松绿、冷灰、山石；山石矮凳独立轮廓；SSR只加环境细节</x:v>
      </x:c>
      <x:c r="N63" s="9" t="str">
        <x:v>待制作</x:v>
      </x:c>
    </x:row>
    <x:row r="64" ht="48" customHeight="1">
      <x:c r="A64" s="10" t="str">
        <x:v>F_08_2</x:v>
      </x:c>
      <x:c r="B64" s="10" t="str">
        <x:v>SET_08</x:v>
      </x:c>
      <x:c r="C64" s="10" t="str">
        <x:v>雪绒立灯</x:v>
      </x:c>
      <x:c r="D64" s="10" t="str">
        <x:v>R</x:v>
      </x:c>
      <x:c r="E64" s="10" t="str">
        <x:v>首发</x:v>
      </x:c>
      <x:c r="F64" s="10" t="str">
        <x:v>落地</x:v>
      </x:c>
      <x:c r="G64" s="10" t="str">
        <x:v>金币</x:v>
      </x:c>
      <x:c r="H64" s="10" t="str">
        <x:v>花园币</x:v>
      </x:c>
      <x:c r="I64" s="10" t="n">
        <x:v>360</x:v>
      </x:c>
      <x:c r="J64" s="10" t="str">
        <x:v>REG_08</x:v>
      </x:c>
      <x:c r="K64" s="10" t="str">
        <x:v>地区首访后金币货架永久开放</x:v>
      </x:c>
      <x:c r="L64" s="10" t="str">
        <x:v>先保留2件；第三件起R30/SR120/SSR300金币</x:v>
      </x:c>
      <x:c r="M64" s="10" t="str">
        <x:v>松绿、冷灰、山石；雪绒立灯独立轮廓；SSR只加环境细节</x:v>
      </x:c>
      <x:c r="N64" s="10" t="str">
        <x:v>待制作</x:v>
      </x:c>
    </x:row>
    <x:row r="65" ht="48" customHeight="1">
      <x:c r="A65" s="9" t="str">
        <x:v>F_08_3</x:v>
      </x:c>
      <x:c r="B65" s="9" t="str">
        <x:v>SET_08</x:v>
      </x:c>
      <x:c r="C65" s="9" t="str">
        <x:v>松木圆几</x:v>
      </x:c>
      <x:c r="D65" s="9" t="str">
        <x:v>R</x:v>
      </x:c>
      <x:c r="E65" s="9" t="str">
        <x:v>首发</x:v>
      </x:c>
      <x:c r="F65" s="9" t="str">
        <x:v>落地</x:v>
      </x:c>
      <x:c r="G65" s="9" t="str">
        <x:v>金币</x:v>
      </x:c>
      <x:c r="H65" s="9" t="str">
        <x:v>花园币</x:v>
      </x:c>
      <x:c r="I65" s="9" t="n">
        <x:v>600</x:v>
      </x:c>
      <x:c r="J65" s="9" t="str">
        <x:v>REG_08</x:v>
      </x:c>
      <x:c r="K65" s="9" t="str">
        <x:v>地区首访后金币货架永久开放</x:v>
      </x:c>
      <x:c r="L65" s="9" t="str">
        <x:v>先保留2件；第三件起R30/SR120/SSR300金币</x:v>
      </x:c>
      <x:c r="M65" s="9" t="str">
        <x:v>松绿、冷灰、山石；松木圆几独立轮廓；SSR只加环境细节</x:v>
      </x:c>
      <x:c r="N65" s="9" t="str">
        <x:v>待制作</x:v>
      </x:c>
    </x:row>
    <x:row r="66" ht="48" customHeight="1">
      <x:c r="A66" s="10" t="str">
        <x:v>F_08_4</x:v>
      </x:c>
      <x:c r="B66" s="10" t="str">
        <x:v>SET_08</x:v>
      </x:c>
      <x:c r="C66" s="10" t="str">
        <x:v>山居软榻</x:v>
      </x:c>
      <x:c r="D66" s="10" t="str">
        <x:v>SR</x:v>
      </x:c>
      <x:c r="E66" s="10" t="str">
        <x:v>首发</x:v>
      </x:c>
      <x:c r="F66" s="10" t="str">
        <x:v>落地</x:v>
      </x:c>
      <x:c r="G66" s="10" t="str">
        <x:v>见闻</x:v>
      </x:c>
      <x:c r="H66" s="10" t="str">
        <x:v>地区见闻</x:v>
      </x:c>
      <x:c r="I66" s="10" t="n">
        <x:v>0</x:v>
      </x:c>
      <x:c r="J66" s="10" t="str">
        <x:v>REG_08</x:v>
      </x:c>
      <x:c r="K66" s="10" t="str">
        <x:v>本地区6次普通旅行</x:v>
      </x:c>
      <x:c r="L66" s="10" t="str">
        <x:v>先保留2件；第三件起R30/SR120/SSR300金币</x:v>
      </x:c>
      <x:c r="M66" s="10" t="str">
        <x:v>松绿、冷灰、山石；山居软榻独立轮廓；SSR只加环境细节</x:v>
      </x:c>
      <x:c r="N66" s="10" t="str">
        <x:v>待制作</x:v>
      </x:c>
    </x:row>
    <x:row r="67" ht="48" customHeight="1">
      <x:c r="A67" s="9" t="str">
        <x:v>F_08_5</x:v>
      </x:c>
      <x:c r="B67" s="9" t="str">
        <x:v>SET_08</x:v>
      </x:c>
      <x:c r="C67" s="9" t="str">
        <x:v>登山纪念柜</x:v>
      </x:c>
      <x:c r="D67" s="9" t="str">
        <x:v>SR</x:v>
      </x:c>
      <x:c r="E67" s="9" t="str">
        <x:v>首发</x:v>
      </x:c>
      <x:c r="F67" s="9" t="str">
        <x:v>落地</x:v>
      </x:c>
      <x:c r="G67" s="9" t="str">
        <x:v>见闻</x:v>
      </x:c>
      <x:c r="H67" s="9" t="str">
        <x:v>地区见闻</x:v>
      </x:c>
      <x:c r="I67" s="9" t="n">
        <x:v>0</x:v>
      </x:c>
      <x:c r="J67" s="9" t="str">
        <x:v>REG_08</x:v>
      </x:c>
      <x:c r="K67" s="9" t="str">
        <x:v>本地区6次普通旅行</x:v>
      </x:c>
      <x:c r="L67" s="9" t="str">
        <x:v>先保留2件；第三件起R30/SR120/SSR300金币</x:v>
      </x:c>
      <x:c r="M67" s="9" t="str">
        <x:v>松绿、冷灰、山石；登山纪念柜独立轮廓；SSR只加环境细节</x:v>
      </x:c>
      <x:c r="N67" s="9" t="str">
        <x:v>待制作</x:v>
      </x:c>
    </x:row>
    <x:row r="68" ht="48" customHeight="1">
      <x:c r="A68" s="10" t="str">
        <x:v>F_08_6</x:v>
      </x:c>
      <x:c r="B68" s="10" t="str">
        <x:v>SET_08</x:v>
      </x:c>
      <x:c r="C68" s="10" t="str">
        <x:v>山谷挂画</x:v>
      </x:c>
      <x:c r="D68" s="10" t="str">
        <x:v>SR</x:v>
      </x:c>
      <x:c r="E68" s="10" t="str">
        <x:v>首发</x:v>
      </x:c>
      <x:c r="F68" s="10" t="str">
        <x:v>墙饰</x:v>
      </x:c>
      <x:c r="G68" s="10" t="str">
        <x:v>见闻</x:v>
      </x:c>
      <x:c r="H68" s="10" t="str">
        <x:v>地区见闻</x:v>
      </x:c>
      <x:c r="I68" s="10" t="n">
        <x:v>0</x:v>
      </x:c>
      <x:c r="J68" s="10" t="str">
        <x:v>REG_08</x:v>
      </x:c>
      <x:c r="K68" s="10" t="str">
        <x:v>本地区6次普通旅行</x:v>
      </x:c>
      <x:c r="L68" s="10" t="str">
        <x:v>先保留2件；第三件起R30/SR120/SSR300金币</x:v>
      </x:c>
      <x:c r="M68" s="10" t="str">
        <x:v>松绿、冷灰、山石；山谷挂画独立轮廓；SSR只加环境细节</x:v>
      </x:c>
      <x:c r="N68" s="10" t="str">
        <x:v>待制作</x:v>
      </x:c>
    </x:row>
    <x:row r="69" ht="48" customHeight="1">
      <x:c r="A69" s="9" t="str">
        <x:v>F_08_7</x:v>
      </x:c>
      <x:c r="B69" s="9" t="str">
        <x:v>SET_08</x:v>
      </x:c>
      <x:c r="C69" s="9" t="str">
        <x:v>雪绒地毯</x:v>
      </x:c>
      <x:c r="D69" s="9" t="str">
        <x:v>SSR</x:v>
      </x:c>
      <x:c r="E69" s="9" t="str">
        <x:v>首发</x:v>
      </x:c>
      <x:c r="F69" s="9" t="str">
        <x:v>地毯</x:v>
      </x:c>
      <x:c r="G69" s="9" t="str">
        <x:v>见闻</x:v>
      </x:c>
      <x:c r="H69" s="9" t="str">
        <x:v>地区见闻</x:v>
      </x:c>
      <x:c r="I69" s="9" t="n">
        <x:v>0</x:v>
      </x:c>
      <x:c r="J69" s="9" t="str">
        <x:v>REG_08</x:v>
      </x:c>
      <x:c r="K69" s="9" t="str">
        <x:v>本地区12次普通旅行</x:v>
      </x:c>
      <x:c r="L69" s="9" t="str">
        <x:v>先保留2件；第三件起R30/SR120/SSR300金币</x:v>
      </x:c>
      <x:c r="M69" s="9" t="str">
        <x:v>松绿、冷灰、山石；雪绒地毯独立轮廓；SSR只加环境细节</x:v>
      </x:c>
      <x:c r="N69" s="9" t="str">
        <x:v>待制作</x:v>
      </x:c>
    </x:row>
    <x:row r="70" ht="48" customHeight="1">
      <x:c r="A70" s="10" t="str">
        <x:v>F_08_8</x:v>
      </x:c>
      <x:c r="B70" s="10" t="str">
        <x:v>SET_08</x:v>
      </x:c>
      <x:c r="C70" s="10" t="str">
        <x:v>高山流水</x:v>
      </x:c>
      <x:c r="D70" s="10" t="str">
        <x:v>SSR</x:v>
      </x:c>
      <x:c r="E70" s="10" t="str">
        <x:v>首发</x:v>
      </x:c>
      <x:c r="F70" s="10" t="str">
        <x:v>落地</x:v>
      </x:c>
      <x:c r="G70" s="10" t="str">
        <x:v>见闻</x:v>
      </x:c>
      <x:c r="H70" s="10" t="str">
        <x:v>地区见闻</x:v>
      </x:c>
      <x:c r="I70" s="10" t="n">
        <x:v>0</x:v>
      </x:c>
      <x:c r="J70" s="10" t="str">
        <x:v>REG_08</x:v>
      </x:c>
      <x:c r="K70" s="10" t="str">
        <x:v>本地区12次普通旅行</x:v>
      </x:c>
      <x:c r="L70" s="10" t="str">
        <x:v>先保留2件；第三件起R30/SR120/SSR300金币</x:v>
      </x:c>
      <x:c r="M70" s="10" t="str">
        <x:v>松绿、冷灰、山石；高山流水独立轮廓；SSR只加环境细节</x:v>
      </x:c>
      <x:c r="N70" s="10" t="str">
        <x:v>待制作</x:v>
      </x:c>
    </x:row>
    <x:row r="71" ht="48" customHeight="1">
      <x:c r="A71" s="9" t="str">
        <x:v>F_09_1</x:v>
      </x:c>
      <x:c r="B71" s="9" t="str">
        <x:v>SET_09</x:v>
      </x:c>
      <x:c r="C71" s="9" t="str">
        <x:v>海岸坐墩</x:v>
      </x:c>
      <x:c r="D71" s="9" t="str">
        <x:v>R</x:v>
      </x:c>
      <x:c r="E71" s="9" t="str">
        <x:v>首发</x:v>
      </x:c>
      <x:c r="F71" s="9" t="str">
        <x:v>落地</x:v>
      </x:c>
      <x:c r="G71" s="9" t="str">
        <x:v>星晶</x:v>
      </x:c>
      <x:c r="H71" s="9" t="str">
        <x:v>星晶</x:v>
      </x:c>
      <x:c r="I71" s="9" t="n">
        <x:v>120</x:v>
      </x:c>
      <x:c r="J71" s="9" t="str">
        <x:v>REG_09</x:v>
      </x:c>
      <x:c r="K71" s="9" t="str">
        <x:v>本主题上架后永久直购；赠晶也可付</x:v>
      </x:c>
      <x:c r="L71" s="9" t="str">
        <x:v>先保留2件；第三件起R30/SR120/SSR300金币</x:v>
      </x:c>
      <x:c r="M71" s="9" t="str">
        <x:v>钴蓝、石白、贝壳；海岸坐墩独立轮廓；SSR只加环境细节</x:v>
      </x:c>
      <x:c r="N71" s="9" t="str">
        <x:v>待制作</x:v>
      </x:c>
    </x:row>
    <x:row r="72" ht="48" customHeight="1">
      <x:c r="A72" s="10" t="str">
        <x:v>F_09_2</x:v>
      </x:c>
      <x:c r="B72" s="10" t="str">
        <x:v>SET_09</x:v>
      </x:c>
      <x:c r="C72" s="10" t="str">
        <x:v>贝光立灯</x:v>
      </x:c>
      <x:c r="D72" s="10" t="str">
        <x:v>R</x:v>
      </x:c>
      <x:c r="E72" s="10" t="str">
        <x:v>首发</x:v>
      </x:c>
      <x:c r="F72" s="10" t="str">
        <x:v>落地</x:v>
      </x:c>
      <x:c r="G72" s="10" t="str">
        <x:v>星晶</x:v>
      </x:c>
      <x:c r="H72" s="10" t="str">
        <x:v>星晶</x:v>
      </x:c>
      <x:c r="I72" s="10" t="n">
        <x:v>180</x:v>
      </x:c>
      <x:c r="J72" s="10" t="str">
        <x:v>REG_09</x:v>
      </x:c>
      <x:c r="K72" s="10" t="str">
        <x:v>本主题上架后永久直购；赠晶也可付</x:v>
      </x:c>
      <x:c r="L72" s="10" t="str">
        <x:v>先保留2件；第三件起R30/SR120/SSR300金币</x:v>
      </x:c>
      <x:c r="M72" s="10" t="str">
        <x:v>钴蓝、石白、贝壳；贝光立灯独立轮廓；SSR只加环境细节</x:v>
      </x:c>
      <x:c r="N72" s="10" t="str">
        <x:v>待制作</x:v>
      </x:c>
    </x:row>
    <x:row r="73" ht="48" customHeight="1">
      <x:c r="A73" s="9" t="str">
        <x:v>F_09_3</x:v>
      </x:c>
      <x:c r="B73" s="9" t="str">
        <x:v>SET_09</x:v>
      </x:c>
      <x:c r="C73" s="9" t="str">
        <x:v>蓝瓷圆几</x:v>
      </x:c>
      <x:c r="D73" s="9" t="str">
        <x:v>R</x:v>
      </x:c>
      <x:c r="E73" s="9" t="str">
        <x:v>首发</x:v>
      </x:c>
      <x:c r="F73" s="9" t="str">
        <x:v>落地</x:v>
      </x:c>
      <x:c r="G73" s="9" t="str">
        <x:v>星晶</x:v>
      </x:c>
      <x:c r="H73" s="9" t="str">
        <x:v>星晶</x:v>
      </x:c>
      <x:c r="I73" s="9" t="n">
        <x:v>240</x:v>
      </x:c>
      <x:c r="J73" s="9" t="str">
        <x:v>REG_09</x:v>
      </x:c>
      <x:c r="K73" s="9" t="str">
        <x:v>本主题上架后永久直购；赠晶也可付</x:v>
      </x:c>
      <x:c r="L73" s="9" t="str">
        <x:v>先保留2件；第三件起R30/SR120/SSR300金币</x:v>
      </x:c>
      <x:c r="M73" s="9" t="str">
        <x:v>钴蓝、石白、贝壳；蓝瓷圆几独立轮廓；SSR只加环境细节</x:v>
      </x:c>
      <x:c r="N73" s="9" t="str">
        <x:v>待制作</x:v>
      </x:c>
    </x:row>
    <x:row r="74" ht="48" customHeight="1">
      <x:c r="A74" s="10" t="str">
        <x:v>F_09_4</x:v>
      </x:c>
      <x:c r="B74" s="10" t="str">
        <x:v>SET_09</x:v>
      </x:c>
      <x:c r="C74" s="10" t="str">
        <x:v>海风长椅</x:v>
      </x:c>
      <x:c r="D74" s="10" t="str">
        <x:v>SR</x:v>
      </x:c>
      <x:c r="E74" s="10" t="str">
        <x:v>首发</x:v>
      </x:c>
      <x:c r="F74" s="10" t="str">
        <x:v>落地</x:v>
      </x:c>
      <x:c r="G74" s="10" t="str">
        <x:v>星晶</x:v>
      </x:c>
      <x:c r="H74" s="10" t="str">
        <x:v>星晶</x:v>
      </x:c>
      <x:c r="I74" s="10" t="n">
        <x:v>360</x:v>
      </x:c>
      <x:c r="J74" s="10" t="str">
        <x:v>REG_09</x:v>
      </x:c>
      <x:c r="K74" s="10" t="str">
        <x:v>本主题上架后永久直购；赠晶也可付</x:v>
      </x:c>
      <x:c r="L74" s="10" t="str">
        <x:v>先保留2件；第三件起R30/SR120/SSR300金币</x:v>
      </x:c>
      <x:c r="M74" s="10" t="str">
        <x:v>钴蓝、石白、贝壳；海风长椅独立轮廓；SSR只加环境细节</x:v>
      </x:c>
      <x:c r="N74" s="10" t="str">
        <x:v>待制作</x:v>
      </x:c>
    </x:row>
    <x:row r="75" ht="48" customHeight="1">
      <x:c r="A75" s="9" t="str">
        <x:v>F_09_5</x:v>
      </x:c>
      <x:c r="B75" s="9" t="str">
        <x:v>SET_09</x:v>
      </x:c>
      <x:c r="C75" s="9" t="str">
        <x:v>拱门展示架</x:v>
      </x:c>
      <x:c r="D75" s="9" t="str">
        <x:v>SR</x:v>
      </x:c>
      <x:c r="E75" s="9" t="str">
        <x:v>首发</x:v>
      </x:c>
      <x:c r="F75" s="9" t="str">
        <x:v>落地</x:v>
      </x:c>
      <x:c r="G75" s="9" t="str">
        <x:v>星晶</x:v>
      </x:c>
      <x:c r="H75" s="9" t="str">
        <x:v>星晶</x:v>
      </x:c>
      <x:c r="I75" s="9" t="n">
        <x:v>480</x:v>
      </x:c>
      <x:c r="J75" s="9" t="str">
        <x:v>REG_09</x:v>
      </x:c>
      <x:c r="K75" s="9" t="str">
        <x:v>本主题上架后永久直购；赠晶也可付</x:v>
      </x:c>
      <x:c r="L75" s="9" t="str">
        <x:v>先保留2件；第三件起R30/SR120/SSR300金币</x:v>
      </x:c>
      <x:c r="M75" s="9" t="str">
        <x:v>钴蓝、石白、贝壳；拱门展示架独立轮廓；SSR只加环境细节</x:v>
      </x:c>
      <x:c r="N75" s="9" t="str">
        <x:v>待制作</x:v>
      </x:c>
    </x:row>
    <x:row r="76" ht="48" customHeight="1">
      <x:c r="A76" s="10" t="str">
        <x:v>F_09_6</x:v>
      </x:c>
      <x:c r="B76" s="10" t="str">
        <x:v>SET_09</x:v>
      </x:c>
      <x:c r="C76" s="10" t="str">
        <x:v>浪花窗框</x:v>
      </x:c>
      <x:c r="D76" s="10" t="str">
        <x:v>SR</x:v>
      </x:c>
      <x:c r="E76" s="10" t="str">
        <x:v>首发</x:v>
      </x:c>
      <x:c r="F76" s="10" t="str">
        <x:v>墙饰</x:v>
      </x:c>
      <x:c r="G76" s="10" t="str">
        <x:v>星晶</x:v>
      </x:c>
      <x:c r="H76" s="10" t="str">
        <x:v>星晶</x:v>
      </x:c>
      <x:c r="I76" s="10" t="n">
        <x:v>480</x:v>
      </x:c>
      <x:c r="J76" s="10" t="str">
        <x:v>REG_09</x:v>
      </x:c>
      <x:c r="K76" s="10" t="str">
        <x:v>本主题上架后永久直购；赠晶也可付</x:v>
      </x:c>
      <x:c r="L76" s="10" t="str">
        <x:v>先保留2件；第三件起R30/SR120/SSR300金币</x:v>
      </x:c>
      <x:c r="M76" s="10" t="str">
        <x:v>钴蓝、石白、贝壳；浪花窗框独立轮廓；SSR只加环境细节</x:v>
      </x:c>
      <x:c r="N76" s="10" t="str">
        <x:v>待制作</x:v>
      </x:c>
    </x:row>
    <x:row r="77" ht="48" customHeight="1">
      <x:c r="A77" s="9" t="str">
        <x:v>F_09_7</x:v>
      </x:c>
      <x:c r="B77" s="9" t="str">
        <x:v>SET_09</x:v>
      </x:c>
      <x:c r="C77" s="9" t="str">
        <x:v>潮汐地毯</x:v>
      </x:c>
      <x:c r="D77" s="9" t="str">
        <x:v>SSR</x:v>
      </x:c>
      <x:c r="E77" s="9" t="str">
        <x:v>首发</x:v>
      </x:c>
      <x:c r="F77" s="9" t="str">
        <x:v>地毯</x:v>
      </x:c>
      <x:c r="G77" s="9" t="str">
        <x:v>星晶</x:v>
      </x:c>
      <x:c r="H77" s="9" t="str">
        <x:v>星晶</x:v>
      </x:c>
      <x:c r="I77" s="9" t="n">
        <x:v>680</x:v>
      </x:c>
      <x:c r="J77" s="9" t="str">
        <x:v>REG_09</x:v>
      </x:c>
      <x:c r="K77" s="9" t="str">
        <x:v>本主题上架后永久直购；赠晶也可付</x:v>
      </x:c>
      <x:c r="L77" s="9" t="str">
        <x:v>先保留2件；第三件起R30/SR120/SSR300金币</x:v>
      </x:c>
      <x:c r="M77" s="9" t="str">
        <x:v>钴蓝、石白、贝壳；潮汐地毯独立轮廓；SSR只加环境细节</x:v>
      </x:c>
      <x:c r="N77" s="9" t="str">
        <x:v>待制作</x:v>
      </x:c>
    </x:row>
    <x:row r="78" ht="48" customHeight="1">
      <x:c r="A78" s="10" t="str">
        <x:v>F_09_8</x:v>
      </x:c>
      <x:c r="B78" s="10" t="str">
        <x:v>SET_09</x:v>
      </x:c>
      <x:c r="C78" s="10" t="str">
        <x:v>蓝白小喷泉</x:v>
      </x:c>
      <x:c r="D78" s="10" t="str">
        <x:v>SSR</x:v>
      </x:c>
      <x:c r="E78" s="10" t="str">
        <x:v>首发</x:v>
      </x:c>
      <x:c r="F78" s="10" t="str">
        <x:v>落地</x:v>
      </x:c>
      <x:c r="G78" s="10" t="str">
        <x:v>星晶</x:v>
      </x:c>
      <x:c r="H78" s="10" t="str">
        <x:v>星晶</x:v>
      </x:c>
      <x:c r="I78" s="10" t="n">
        <x:v>980</x:v>
      </x:c>
      <x:c r="J78" s="10" t="str">
        <x:v>REG_09</x:v>
      </x:c>
      <x:c r="K78" s="10" t="str">
        <x:v>本主题上架后永久直购；赠晶也可付</x:v>
      </x:c>
      <x:c r="L78" s="10" t="str">
        <x:v>先保留2件；第三件起R30/SR120/SSR300金币</x:v>
      </x:c>
      <x:c r="M78" s="10" t="str">
        <x:v>钴蓝、石白、贝壳；蓝白小喷泉独立轮廓；SSR只加环境细节</x:v>
      </x:c>
      <x:c r="N78" s="10" t="str">
        <x:v>待制作</x:v>
      </x:c>
    </x:row>
    <x:row r="79" ht="48" customHeight="1">
      <x:c r="A79" s="9" t="str">
        <x:v>F_10_1</x:v>
      </x:c>
      <x:c r="B79" s="9" t="str">
        <x:v>SET_10</x:v>
      </x:c>
      <x:c r="C79" s="9" t="str">
        <x:v>藤编小凳</x:v>
      </x:c>
      <x:c r="D79" s="9" t="str">
        <x:v>R</x:v>
      </x:c>
      <x:c r="E79" s="9" t="str">
        <x:v>首发</x:v>
      </x:c>
      <x:c r="F79" s="9" t="str">
        <x:v>落地</x:v>
      </x:c>
      <x:c r="G79" s="9" t="str">
        <x:v>补给</x:v>
      </x:c>
      <x:c r="H79" s="9" t="str">
        <x:v>补给池</x:v>
      </x:c>
      <x:c r="I79" s="9" t="n">
        <x:v>0</x:v>
      </x:c>
      <x:c r="J79" s="9" t="str">
        <x:v>REG_10</x:v>
      </x:c>
      <x:c r="K79" s="9" t="str">
        <x:v>入常驻补给池；见奖池条目</x:v>
      </x:c>
      <x:c r="L79" s="9" t="str">
        <x:v>先保留2件；第三件起R30/SR120/SSR300金币</x:v>
      </x:c>
      <x:c r="M79" s="9" t="str">
        <x:v>藤编、翡翠绿、滴水叶；藤编小凳独立轮廓；SSR只加环境细节</x:v>
      </x:c>
      <x:c r="N79" s="9" t="str">
        <x:v>待制作</x:v>
      </x:c>
    </x:row>
    <x:row r="80" ht="48" customHeight="1">
      <x:c r="A80" s="10" t="str">
        <x:v>F_10_2</x:v>
      </x:c>
      <x:c r="B80" s="10" t="str">
        <x:v>SET_10</x:v>
      </x:c>
      <x:c r="C80" s="10" t="str">
        <x:v>雨滴立灯</x:v>
      </x:c>
      <x:c r="D80" s="10" t="str">
        <x:v>R</x:v>
      </x:c>
      <x:c r="E80" s="10" t="str">
        <x:v>首发</x:v>
      </x:c>
      <x:c r="F80" s="10" t="str">
        <x:v>落地</x:v>
      </x:c>
      <x:c r="G80" s="10" t="str">
        <x:v>补给</x:v>
      </x:c>
      <x:c r="H80" s="10" t="str">
        <x:v>补给池</x:v>
      </x:c>
      <x:c r="I80" s="10" t="n">
        <x:v>0</x:v>
      </x:c>
      <x:c r="J80" s="10" t="str">
        <x:v>REG_10</x:v>
      </x:c>
      <x:c r="K80" s="10" t="str">
        <x:v>入常驻补给池；见奖池条目</x:v>
      </x:c>
      <x:c r="L80" s="10" t="str">
        <x:v>先保留2件；第三件起R30/SR120/SSR300金币</x:v>
      </x:c>
      <x:c r="M80" s="10" t="str">
        <x:v>藤编、翡翠绿、滴水叶；雨滴立灯独立轮廓；SSR只加环境细节</x:v>
      </x:c>
      <x:c r="N80" s="10" t="str">
        <x:v>待制作</x:v>
      </x:c>
    </x:row>
    <x:row r="81" ht="48" customHeight="1">
      <x:c r="A81" s="9" t="str">
        <x:v>F_10_3</x:v>
      </x:c>
      <x:c r="B81" s="9" t="str">
        <x:v>SET_10</x:v>
      </x:c>
      <x:c r="C81" s="9" t="str">
        <x:v>叶脉茶几</x:v>
      </x:c>
      <x:c r="D81" s="9" t="str">
        <x:v>R</x:v>
      </x:c>
      <x:c r="E81" s="9" t="str">
        <x:v>首发</x:v>
      </x:c>
      <x:c r="F81" s="9" t="str">
        <x:v>落地</x:v>
      </x:c>
      <x:c r="G81" s="9" t="str">
        <x:v>补给</x:v>
      </x:c>
      <x:c r="H81" s="9" t="str">
        <x:v>补给池</x:v>
      </x:c>
      <x:c r="I81" s="9" t="n">
        <x:v>0</x:v>
      </x:c>
      <x:c r="J81" s="9" t="str">
        <x:v>REG_10</x:v>
      </x:c>
      <x:c r="K81" s="9" t="str">
        <x:v>入常驻补给池；见奖池条目</x:v>
      </x:c>
      <x:c r="L81" s="9" t="str">
        <x:v>先保留2件；第三件起R30/SR120/SSR300金币</x:v>
      </x:c>
      <x:c r="M81" s="9" t="str">
        <x:v>藤编、翡翠绿、滴水叶；叶脉茶几独立轮廓；SSR只加环境细节</x:v>
      </x:c>
      <x:c r="N81" s="9" t="str">
        <x:v>待制作</x:v>
      </x:c>
    </x:row>
    <x:row r="82" ht="48" customHeight="1">
      <x:c r="A82" s="10" t="str">
        <x:v>F_10_4</x:v>
      </x:c>
      <x:c r="B82" s="10" t="str">
        <x:v>SET_10</x:v>
      </x:c>
      <x:c r="C82" s="10" t="str">
        <x:v>雨林摇椅</x:v>
      </x:c>
      <x:c r="D82" s="10" t="str">
        <x:v>SR</x:v>
      </x:c>
      <x:c r="E82" s="10" t="str">
        <x:v>首发</x:v>
      </x:c>
      <x:c r="F82" s="10" t="str">
        <x:v>落地</x:v>
      </x:c>
      <x:c r="G82" s="10" t="str">
        <x:v>补给</x:v>
      </x:c>
      <x:c r="H82" s="10" t="str">
        <x:v>补给池</x:v>
      </x:c>
      <x:c r="I82" s="10" t="n">
        <x:v>0</x:v>
      </x:c>
      <x:c r="J82" s="10" t="str">
        <x:v>REG_10</x:v>
      </x:c>
      <x:c r="K82" s="10" t="str">
        <x:v>入常驻补给池；见奖池条目</x:v>
      </x:c>
      <x:c r="L82" s="10" t="str">
        <x:v>先保留2件；第三件起R30/SR120/SSR300金币</x:v>
      </x:c>
      <x:c r="M82" s="10" t="str">
        <x:v>藤编、翡翠绿、滴水叶；雨林摇椅独立轮廓；SSR只加环境细节</x:v>
      </x:c>
      <x:c r="N82" s="10" t="str">
        <x:v>待制作</x:v>
      </x:c>
    </x:row>
    <x:row r="83" ht="48" customHeight="1">
      <x:c r="A83" s="9" t="str">
        <x:v>F_10_5</x:v>
      </x:c>
      <x:c r="B83" s="9" t="str">
        <x:v>SET_10</x:v>
      </x:c>
      <x:c r="C83" s="9" t="str">
        <x:v>兰花立架</x:v>
      </x:c>
      <x:c r="D83" s="9" t="str">
        <x:v>SR</x:v>
      </x:c>
      <x:c r="E83" s="9" t="str">
        <x:v>首发</x:v>
      </x:c>
      <x:c r="F83" s="9" t="str">
        <x:v>落地</x:v>
      </x:c>
      <x:c r="G83" s="9" t="str">
        <x:v>补给</x:v>
      </x:c>
      <x:c r="H83" s="9" t="str">
        <x:v>补给池</x:v>
      </x:c>
      <x:c r="I83" s="9" t="n">
        <x:v>0</x:v>
      </x:c>
      <x:c r="J83" s="9" t="str">
        <x:v>REG_10</x:v>
      </x:c>
      <x:c r="K83" s="9" t="str">
        <x:v>入常驻补给池；见奖池条目</x:v>
      </x:c>
      <x:c r="L83" s="9" t="str">
        <x:v>先保留2件；第三件起R30/SR120/SSR300金币</x:v>
      </x:c>
      <x:c r="M83" s="9" t="str">
        <x:v>藤编、翡翠绿、滴水叶；兰花立架独立轮廓；SSR只加环境细节</x:v>
      </x:c>
      <x:c r="N83" s="9" t="str">
        <x:v>待制作</x:v>
      </x:c>
    </x:row>
    <x:row r="84" ht="48" customHeight="1">
      <x:c r="A84" s="10" t="str">
        <x:v>F_10_6</x:v>
      </x:c>
      <x:c r="B84" s="10" t="str">
        <x:v>SET_10</x:v>
      </x:c>
      <x:c r="C84" s="10" t="str">
        <x:v>热带壁饰</x:v>
      </x:c>
      <x:c r="D84" s="10" t="str">
        <x:v>SR</x:v>
      </x:c>
      <x:c r="E84" s="10" t="str">
        <x:v>首发</x:v>
      </x:c>
      <x:c r="F84" s="10" t="str">
        <x:v>墙饰</x:v>
      </x:c>
      <x:c r="G84" s="10" t="str">
        <x:v>补给</x:v>
      </x:c>
      <x:c r="H84" s="10" t="str">
        <x:v>补给池</x:v>
      </x:c>
      <x:c r="I84" s="10" t="n">
        <x:v>0</x:v>
      </x:c>
      <x:c r="J84" s="10" t="str">
        <x:v>REG_10</x:v>
      </x:c>
      <x:c r="K84" s="10" t="str">
        <x:v>入常驻补给池；见奖池条目</x:v>
      </x:c>
      <x:c r="L84" s="10" t="str">
        <x:v>先保留2件；第三件起R30/SR120/SSR300金币</x:v>
      </x:c>
      <x:c r="M84" s="10" t="str">
        <x:v>藤编、翡翠绿、滴水叶；热带壁饰独立轮廓；SSR只加环境细节</x:v>
      </x:c>
      <x:c r="N84" s="10" t="str">
        <x:v>待制作</x:v>
      </x:c>
    </x:row>
    <x:row r="85" ht="48" customHeight="1">
      <x:c r="A85" s="9" t="str">
        <x:v>F_10_7</x:v>
      </x:c>
      <x:c r="B85" s="9" t="str">
        <x:v>SET_10</x:v>
      </x:c>
      <x:c r="C85" s="9" t="str">
        <x:v>编藤圆毯</x:v>
      </x:c>
      <x:c r="D85" s="9" t="str">
        <x:v>SSR</x:v>
      </x:c>
      <x:c r="E85" s="9" t="str">
        <x:v>首发</x:v>
      </x:c>
      <x:c r="F85" s="9" t="str">
        <x:v>地毯</x:v>
      </x:c>
      <x:c r="G85" s="9" t="str">
        <x:v>补给</x:v>
      </x:c>
      <x:c r="H85" s="9" t="str">
        <x:v>补给池</x:v>
      </x:c>
      <x:c r="I85" s="9" t="n">
        <x:v>0</x:v>
      </x:c>
      <x:c r="J85" s="9" t="str">
        <x:v>REG_10</x:v>
      </x:c>
      <x:c r="K85" s="9" t="str">
        <x:v>入常驻补给池；见奖池条目</x:v>
      </x:c>
      <x:c r="L85" s="9" t="str">
        <x:v>先保留2件；第三件起R30/SR120/SSR300金币</x:v>
      </x:c>
      <x:c r="M85" s="9" t="str">
        <x:v>藤编、翡翠绿、滴水叶；编藤圆毯独立轮廓；SSR只加环境细节</x:v>
      </x:c>
      <x:c r="N85" s="9" t="str">
        <x:v>待制作</x:v>
      </x:c>
    </x:row>
    <x:row r="86" ht="48" customHeight="1">
      <x:c r="A86" s="10" t="str">
        <x:v>F_10_8</x:v>
      </x:c>
      <x:c r="B86" s="10" t="str">
        <x:v>SET_10</x:v>
      </x:c>
      <x:c r="C86" s="10" t="str">
        <x:v>雨林微景</x:v>
      </x:c>
      <x:c r="D86" s="10" t="str">
        <x:v>SSR</x:v>
      </x:c>
      <x:c r="E86" s="10" t="str">
        <x:v>首发</x:v>
      </x:c>
      <x:c r="F86" s="10" t="str">
        <x:v>落地</x:v>
      </x:c>
      <x:c r="G86" s="10" t="str">
        <x:v>补给</x:v>
      </x:c>
      <x:c r="H86" s="10" t="str">
        <x:v>补给池</x:v>
      </x:c>
      <x:c r="I86" s="10" t="n">
        <x:v>0</x:v>
      </x:c>
      <x:c r="J86" s="10" t="str">
        <x:v>REG_10</x:v>
      </x:c>
      <x:c r="K86" s="10" t="str">
        <x:v>入常驻补给池；见奖池条目</x:v>
      </x:c>
      <x:c r="L86" s="10" t="str">
        <x:v>先保留2件；第三件起R30/SR120/SSR300金币</x:v>
      </x:c>
      <x:c r="M86" s="10" t="str">
        <x:v>藤编、翡翠绿、滴水叶；雨林微景独立轮廓；SSR只加环境细节</x:v>
      </x:c>
      <x:c r="N86" s="10" t="str">
        <x:v>待制作</x:v>
      </x:c>
    </x:row>
    <x:row r="87" ht="48" customHeight="1">
      <x:c r="A87" s="9" t="str">
        <x:v>F_11_1</x:v>
      </x:c>
      <x:c r="B87" s="9" t="str">
        <x:v>SET_11</x:v>
      </x:c>
      <x:c r="C87" s="9" t="str">
        <x:v>流苏坐墩</x:v>
      </x:c>
      <x:c r="D87" s="9" t="str">
        <x:v>R</x:v>
      </x:c>
      <x:c r="E87" s="9" t="str">
        <x:v>首发</x:v>
      </x:c>
      <x:c r="F87" s="9" t="str">
        <x:v>落地</x:v>
      </x:c>
      <x:c r="G87" s="9" t="str">
        <x:v>星晶</x:v>
      </x:c>
      <x:c r="H87" s="9" t="str">
        <x:v>星晶</x:v>
      </x:c>
      <x:c r="I87" s="9" t="n">
        <x:v>120</x:v>
      </x:c>
      <x:c r="J87" s="9" t="str">
        <x:v>REG_11</x:v>
      </x:c>
      <x:c r="K87" s="9" t="str">
        <x:v>本主题上架后永久直购；赠晶也可付</x:v>
      </x:c>
      <x:c r="L87" s="9" t="str">
        <x:v>先保留2件；第三件起R30/SR120/SSR300金币</x:v>
      </x:c>
      <x:c r="M87" s="9" t="str">
        <x:v>暖铜、祖母绿、拱纹；流苏坐墩独立轮廓；SSR只加环境细节</x:v>
      </x:c>
      <x:c r="N87" s="9" t="str">
        <x:v>待制作</x:v>
      </x:c>
    </x:row>
    <x:row r="88" ht="48" customHeight="1">
      <x:c r="A88" s="10" t="str">
        <x:v>F_11_2</x:v>
      </x:c>
      <x:c r="B88" s="10" t="str">
        <x:v>SET_11</x:v>
      </x:c>
      <x:c r="C88" s="10" t="str">
        <x:v>铜光落地灯</x:v>
      </x:c>
      <x:c r="D88" s="10" t="str">
        <x:v>R</x:v>
      </x:c>
      <x:c r="E88" s="10" t="str">
        <x:v>首发</x:v>
      </x:c>
      <x:c r="F88" s="10" t="str">
        <x:v>落地</x:v>
      </x:c>
      <x:c r="G88" s="10" t="str">
        <x:v>星晶</x:v>
      </x:c>
      <x:c r="H88" s="10" t="str">
        <x:v>星晶</x:v>
      </x:c>
      <x:c r="I88" s="10" t="n">
        <x:v>180</x:v>
      </x:c>
      <x:c r="J88" s="10" t="str">
        <x:v>REG_11</x:v>
      </x:c>
      <x:c r="K88" s="10" t="str">
        <x:v>本主题上架后永久直购；赠晶也可付</x:v>
      </x:c>
      <x:c r="L88" s="10" t="str">
        <x:v>先保留2件；第三件起R30/SR120/SSR300金币</x:v>
      </x:c>
      <x:c r="M88" s="10" t="str">
        <x:v>暖铜、祖母绿、拱纹；铜光落地灯独立轮廓；SSR只加环境细节</x:v>
      </x:c>
      <x:c r="N88" s="10" t="str">
        <x:v>待制作</x:v>
      </x:c>
    </x:row>
    <x:row r="89" ht="48" customHeight="1">
      <x:c r="A89" s="9" t="str">
        <x:v>F_11_3</x:v>
      </x:c>
      <x:c r="B89" s="9" t="str">
        <x:v>SET_11</x:v>
      </x:c>
      <x:c r="C89" s="9" t="str">
        <x:v>铜纹茶几</x:v>
      </x:c>
      <x:c r="D89" s="9" t="str">
        <x:v>R</x:v>
      </x:c>
      <x:c r="E89" s="9" t="str">
        <x:v>首发</x:v>
      </x:c>
      <x:c r="F89" s="9" t="str">
        <x:v>落地</x:v>
      </x:c>
      <x:c r="G89" s="9" t="str">
        <x:v>星晶</x:v>
      </x:c>
      <x:c r="H89" s="9" t="str">
        <x:v>星晶</x:v>
      </x:c>
      <x:c r="I89" s="9" t="n">
        <x:v>240</x:v>
      </x:c>
      <x:c r="J89" s="9" t="str">
        <x:v>REG_11</x:v>
      </x:c>
      <x:c r="K89" s="9" t="str">
        <x:v>本主题上架后永久直购；赠晶也可付</x:v>
      </x:c>
      <x:c r="L89" s="9" t="str">
        <x:v>先保留2件；第三件起R30/SR120/SSR300金币</x:v>
      </x:c>
      <x:c r="M89" s="9" t="str">
        <x:v>暖铜、祖母绿、拱纹；铜纹茶几独立轮廓；SSR只加环境细节</x:v>
      </x:c>
      <x:c r="N89" s="9" t="str">
        <x:v>待制作</x:v>
      </x:c>
    </x:row>
    <x:row r="90" ht="48" customHeight="1">
      <x:c r="A90" s="10" t="str">
        <x:v>F_11_4</x:v>
      </x:c>
      <x:c r="B90" s="10" t="str">
        <x:v>SET_11</x:v>
      </x:c>
      <x:c r="C90" s="10" t="str">
        <x:v>庭院长榻</x:v>
      </x:c>
      <x:c r="D90" s="10" t="str">
        <x:v>SR</x:v>
      </x:c>
      <x:c r="E90" s="10" t="str">
        <x:v>首发</x:v>
      </x:c>
      <x:c r="F90" s="10" t="str">
        <x:v>落地</x:v>
      </x:c>
      <x:c r="G90" s="10" t="str">
        <x:v>星晶</x:v>
      </x:c>
      <x:c r="H90" s="10" t="str">
        <x:v>星晶</x:v>
      </x:c>
      <x:c r="I90" s="10" t="n">
        <x:v>360</x:v>
      </x:c>
      <x:c r="J90" s="10" t="str">
        <x:v>REG_11</x:v>
      </x:c>
      <x:c r="K90" s="10" t="str">
        <x:v>本主题上架后永久直购；赠晶也可付</x:v>
      </x:c>
      <x:c r="L90" s="10" t="str">
        <x:v>先保留2件；第三件起R30/SR120/SSR300金币</x:v>
      </x:c>
      <x:c r="M90" s="10" t="str">
        <x:v>暖铜、祖母绿、拱纹；庭院长榻独立轮廓；SSR只加环境细节</x:v>
      </x:c>
      <x:c r="N90" s="10" t="str">
        <x:v>待制作</x:v>
      </x:c>
    </x:row>
    <x:row r="91" ht="48" customHeight="1">
      <x:c r="A91" s="9" t="str">
        <x:v>F_11_5</x:v>
      </x:c>
      <x:c r="B91" s="9" t="str">
        <x:v>SET_11</x:v>
      </x:c>
      <x:c r="C91" s="9" t="str">
        <x:v>镶嵌陈列柜</x:v>
      </x:c>
      <x:c r="D91" s="9" t="str">
        <x:v>SR</x:v>
      </x:c>
      <x:c r="E91" s="9" t="str">
        <x:v>首发</x:v>
      </x:c>
      <x:c r="F91" s="9" t="str">
        <x:v>落地</x:v>
      </x:c>
      <x:c r="G91" s="9" t="str">
        <x:v>星晶</x:v>
      </x:c>
      <x:c r="H91" s="9" t="str">
        <x:v>星晶</x:v>
      </x:c>
      <x:c r="I91" s="9" t="n">
        <x:v>480</x:v>
      </x:c>
      <x:c r="J91" s="9" t="str">
        <x:v>REG_11</x:v>
      </x:c>
      <x:c r="K91" s="9" t="str">
        <x:v>本主题上架后永久直购；赠晶也可付</x:v>
      </x:c>
      <x:c r="L91" s="9" t="str">
        <x:v>先保留2件；第三件起R30/SR120/SSR300金币</x:v>
      </x:c>
      <x:c r="M91" s="9" t="str">
        <x:v>暖铜、祖母绿、拱纹；镶嵌陈列柜独立轮廓；SSR只加环境细节</x:v>
      </x:c>
      <x:c r="N91" s="9" t="str">
        <x:v>待制作</x:v>
      </x:c>
    </x:row>
    <x:row r="92" ht="48" customHeight="1">
      <x:c r="A92" s="10" t="str">
        <x:v>F_11_6</x:v>
      </x:c>
      <x:c r="B92" s="10" t="str">
        <x:v>SET_11</x:v>
      </x:c>
      <x:c r="C92" s="10" t="str">
        <x:v>彩纹挂盘</x:v>
      </x:c>
      <x:c r="D92" s="10" t="str">
        <x:v>SR</x:v>
      </x:c>
      <x:c r="E92" s="10" t="str">
        <x:v>首发</x:v>
      </x:c>
      <x:c r="F92" s="10" t="str">
        <x:v>墙饰</x:v>
      </x:c>
      <x:c r="G92" s="10" t="str">
        <x:v>星晶</x:v>
      </x:c>
      <x:c r="H92" s="10" t="str">
        <x:v>星晶</x:v>
      </x:c>
      <x:c r="I92" s="10" t="n">
        <x:v>480</x:v>
      </x:c>
      <x:c r="J92" s="10" t="str">
        <x:v>REG_11</x:v>
      </x:c>
      <x:c r="K92" s="10" t="str">
        <x:v>本主题上架后永久直购；赠晶也可付</x:v>
      </x:c>
      <x:c r="L92" s="10" t="str">
        <x:v>先保留2件；第三件起R30/SR120/SSR300金币</x:v>
      </x:c>
      <x:c r="M92" s="10" t="str">
        <x:v>暖铜、祖母绿、拱纹；彩纹挂盘独立轮廓；SSR只加环境细节</x:v>
      </x:c>
      <x:c r="N92" s="10" t="str">
        <x:v>待制作</x:v>
      </x:c>
    </x:row>
    <x:row r="93" ht="48" customHeight="1">
      <x:c r="A93" s="9" t="str">
        <x:v>F_11_7</x:v>
      </x:c>
      <x:c r="B93" s="9" t="str">
        <x:v>SET_11</x:v>
      </x:c>
      <x:c r="C93" s="9" t="str">
        <x:v>几何织毯</x:v>
      </x:c>
      <x:c r="D93" s="9" t="str">
        <x:v>SSR</x:v>
      </x:c>
      <x:c r="E93" s="9" t="str">
        <x:v>首发</x:v>
      </x:c>
      <x:c r="F93" s="9" t="str">
        <x:v>地毯</x:v>
      </x:c>
      <x:c r="G93" s="9" t="str">
        <x:v>星晶</x:v>
      </x:c>
      <x:c r="H93" s="9" t="str">
        <x:v>星晶</x:v>
      </x:c>
      <x:c r="I93" s="9" t="n">
        <x:v>680</x:v>
      </x:c>
      <x:c r="J93" s="9" t="str">
        <x:v>REG_11</x:v>
      </x:c>
      <x:c r="K93" s="9" t="str">
        <x:v>本主题上架后永久直购；赠晶也可付</x:v>
      </x:c>
      <x:c r="L93" s="9" t="str">
        <x:v>先保留2件；第三件起R30/SR120/SSR300金币</x:v>
      </x:c>
      <x:c r="M93" s="9" t="str">
        <x:v>暖铜、祖母绿、拱纹；几何织毯独立轮廓；SSR只加环境细节</x:v>
      </x:c>
      <x:c r="N93" s="9" t="str">
        <x:v>待制作</x:v>
      </x:c>
    </x:row>
    <x:row r="94" ht="48" customHeight="1">
      <x:c r="A94" s="10" t="str">
        <x:v>F_11_8</x:v>
      </x:c>
      <x:c r="B94" s="10" t="str">
        <x:v>SET_11</x:v>
      </x:c>
      <x:c r="C94" s="10" t="str">
        <x:v>铜光叠泉</x:v>
      </x:c>
      <x:c r="D94" s="10" t="str">
        <x:v>SSR</x:v>
      </x:c>
      <x:c r="E94" s="10" t="str">
        <x:v>首发</x:v>
      </x:c>
      <x:c r="F94" s="10" t="str">
        <x:v>落地</x:v>
      </x:c>
      <x:c r="G94" s="10" t="str">
        <x:v>星晶</x:v>
      </x:c>
      <x:c r="H94" s="10" t="str">
        <x:v>星晶</x:v>
      </x:c>
      <x:c r="I94" s="10" t="n">
        <x:v>980</x:v>
      </x:c>
      <x:c r="J94" s="10" t="str">
        <x:v>REG_11</x:v>
      </x:c>
      <x:c r="K94" s="10" t="str">
        <x:v>本主题上架后永久直购；赠晶也可付</x:v>
      </x:c>
      <x:c r="L94" s="10" t="str">
        <x:v>先保留2件；第三件起R30/SR120/SSR300金币</x:v>
      </x:c>
      <x:c r="M94" s="10" t="str">
        <x:v>暖铜、祖母绿、拱纹；铜光叠泉独立轮廓；SSR只加环境细节</x:v>
      </x:c>
      <x:c r="N94" s="10" t="str">
        <x:v>待制作</x:v>
      </x:c>
    </x:row>
    <x:row r="95" ht="48" customHeight="1">
      <x:c r="A95" s="9" t="str">
        <x:v>F_12_1</x:v>
      </x:c>
      <x:c r="B95" s="9" t="str">
        <x:v>SET_12</x:v>
      </x:c>
      <x:c r="C95" s="9" t="str">
        <x:v>极光软凳</x:v>
      </x:c>
      <x:c r="D95" s="9" t="str">
        <x:v>R</x:v>
      </x:c>
      <x:c r="E95" s="9" t="str">
        <x:v>首发</x:v>
      </x:c>
      <x:c r="F95" s="9" t="str">
        <x:v>落地</x:v>
      </x:c>
      <x:c r="G95" s="9" t="str">
        <x:v>星晶</x:v>
      </x:c>
      <x:c r="H95" s="9" t="str">
        <x:v>星晶</x:v>
      </x:c>
      <x:c r="I95" s="9" t="n">
        <x:v>120</x:v>
      </x:c>
      <x:c r="J95" s="9" t="str">
        <x:v>REG_12</x:v>
      </x:c>
      <x:c r="K95" s="9" t="str">
        <x:v>本主题上架后永久直购；赠晶也可付</x:v>
      </x:c>
      <x:c r="L95" s="9" t="str">
        <x:v>先保留2件；第三件起R30/SR120/SSR300金币</x:v>
      </x:c>
      <x:c r="M95" s="9" t="str">
        <x:v>黑岩、极光渐变、磨砂玻璃；极光软凳独立轮廓；SSR只加环境细节</x:v>
      </x:c>
      <x:c r="N95" s="9" t="str">
        <x:v>待制作</x:v>
      </x:c>
    </x:row>
    <x:row r="96" ht="48" customHeight="1">
      <x:c r="A96" s="10" t="str">
        <x:v>F_12_2</x:v>
      </x:c>
      <x:c r="B96" s="10" t="str">
        <x:v>SET_12</x:v>
      </x:c>
      <x:c r="C96" s="10" t="str">
        <x:v>星幕立灯</x:v>
      </x:c>
      <x:c r="D96" s="10" t="str">
        <x:v>R</x:v>
      </x:c>
      <x:c r="E96" s="10" t="str">
        <x:v>首发</x:v>
      </x:c>
      <x:c r="F96" s="10" t="str">
        <x:v>落地</x:v>
      </x:c>
      <x:c r="G96" s="10" t="str">
        <x:v>星晶</x:v>
      </x:c>
      <x:c r="H96" s="10" t="str">
        <x:v>星晶</x:v>
      </x:c>
      <x:c r="I96" s="10" t="n">
        <x:v>180</x:v>
      </x:c>
      <x:c r="J96" s="10" t="str">
        <x:v>REG_12</x:v>
      </x:c>
      <x:c r="K96" s="10" t="str">
        <x:v>本主题上架后永久直购；赠晶也可付</x:v>
      </x:c>
      <x:c r="L96" s="10" t="str">
        <x:v>先保留2件；第三件起R30/SR120/SSR300金币</x:v>
      </x:c>
      <x:c r="M96" s="10" t="str">
        <x:v>黑岩、极光渐变、磨砂玻璃；星幕立灯独立轮廓；SSR只加环境细节</x:v>
      </x:c>
      <x:c r="N96" s="10" t="str">
        <x:v>待制作</x:v>
      </x:c>
    </x:row>
    <x:row r="97" ht="48" customHeight="1">
      <x:c r="A97" s="9" t="str">
        <x:v>F_12_3</x:v>
      </x:c>
      <x:c r="B97" s="9" t="str">
        <x:v>SET_12</x:v>
      </x:c>
      <x:c r="C97" s="9" t="str">
        <x:v>黑岩小桌</x:v>
      </x:c>
      <x:c r="D97" s="9" t="str">
        <x:v>R</x:v>
      </x:c>
      <x:c r="E97" s="9" t="str">
        <x:v>首发</x:v>
      </x:c>
      <x:c r="F97" s="9" t="str">
        <x:v>落地</x:v>
      </x:c>
      <x:c r="G97" s="9" t="str">
        <x:v>星晶</x:v>
      </x:c>
      <x:c r="H97" s="9" t="str">
        <x:v>星晶</x:v>
      </x:c>
      <x:c r="I97" s="9" t="n">
        <x:v>240</x:v>
      </x:c>
      <x:c r="J97" s="9" t="str">
        <x:v>REG_12</x:v>
      </x:c>
      <x:c r="K97" s="9" t="str">
        <x:v>本主题上架后永久直购；赠晶也可付</x:v>
      </x:c>
      <x:c r="L97" s="9" t="str">
        <x:v>先保留2件；第三件起R30/SR120/SSR300金币</x:v>
      </x:c>
      <x:c r="M97" s="9" t="str">
        <x:v>黑岩、极光渐变、磨砂玻璃；黑岩小桌独立轮廓；SSR只加环境细节</x:v>
      </x:c>
      <x:c r="N97" s="9" t="str">
        <x:v>待制作</x:v>
      </x:c>
    </x:row>
    <x:row r="98" ht="48" customHeight="1">
      <x:c r="A98" s="10" t="str">
        <x:v>F_12_4</x:v>
      </x:c>
      <x:c r="B98" s="10" t="str">
        <x:v>SET_12</x:v>
      </x:c>
      <x:c r="C98" s="10" t="str">
        <x:v>霜蓝双人榻</x:v>
      </x:c>
      <x:c r="D98" s="10" t="str">
        <x:v>SR</x:v>
      </x:c>
      <x:c r="E98" s="10" t="str">
        <x:v>首发</x:v>
      </x:c>
      <x:c r="F98" s="10" t="str">
        <x:v>落地</x:v>
      </x:c>
      <x:c r="G98" s="10" t="str">
        <x:v>星晶</x:v>
      </x:c>
      <x:c r="H98" s="10" t="str">
        <x:v>星晶</x:v>
      </x:c>
      <x:c r="I98" s="10" t="n">
        <x:v>360</x:v>
      </x:c>
      <x:c r="J98" s="10" t="str">
        <x:v>REG_12</x:v>
      </x:c>
      <x:c r="K98" s="10" t="str">
        <x:v>本主题上架后永久直购；赠晶也可付</x:v>
      </x:c>
      <x:c r="L98" s="10" t="str">
        <x:v>先保留2件；第三件起R30/SR120/SSR300金币</x:v>
      </x:c>
      <x:c r="M98" s="10" t="str">
        <x:v>黑岩、极光渐变、磨砂玻璃；霜蓝双人榻独立轮廓；SSR只加环境细节</x:v>
      </x:c>
      <x:c r="N98" s="10" t="str">
        <x:v>待制作</x:v>
      </x:c>
    </x:row>
    <x:row r="99" ht="48" customHeight="1">
      <x:c r="A99" s="9" t="str">
        <x:v>F_12_5</x:v>
      </x:c>
      <x:c r="B99" s="9" t="str">
        <x:v>SET_12</x:v>
      </x:c>
      <x:c r="C99" s="9" t="str">
        <x:v>极光玻璃柜</x:v>
      </x:c>
      <x:c r="D99" s="9" t="str">
        <x:v>SR</x:v>
      </x:c>
      <x:c r="E99" s="9" t="str">
        <x:v>首发</x:v>
      </x:c>
      <x:c r="F99" s="9" t="str">
        <x:v>落地</x:v>
      </x:c>
      <x:c r="G99" s="9" t="str">
        <x:v>星晶</x:v>
      </x:c>
      <x:c r="H99" s="9" t="str">
        <x:v>星晶</x:v>
      </x:c>
      <x:c r="I99" s="9" t="n">
        <x:v>480</x:v>
      </x:c>
      <x:c r="J99" s="9" t="str">
        <x:v>REG_12</x:v>
      </x:c>
      <x:c r="K99" s="9" t="str">
        <x:v>本主题上架后永久直购；赠晶也可付</x:v>
      </x:c>
      <x:c r="L99" s="9" t="str">
        <x:v>先保留2件；第三件起R30/SR120/SSR300金币</x:v>
      </x:c>
      <x:c r="M99" s="9" t="str">
        <x:v>黑岩、极光渐变、磨砂玻璃；极光玻璃柜独立轮廓；SSR只加环境细节</x:v>
      </x:c>
      <x:c r="N99" s="9" t="str">
        <x:v>待制作</x:v>
      </x:c>
    </x:row>
    <x:row r="100" ht="48" customHeight="1">
      <x:c r="A100" s="10" t="str">
        <x:v>F_12_6</x:v>
      </x:c>
      <x:c r="B100" s="10" t="str">
        <x:v>SET_12</x:v>
      </x:c>
      <x:c r="C100" s="10" t="str">
        <x:v>流光窗框</x:v>
      </x:c>
      <x:c r="D100" s="10" t="str">
        <x:v>SR</x:v>
      </x:c>
      <x:c r="E100" s="10" t="str">
        <x:v>首发</x:v>
      </x:c>
      <x:c r="F100" s="10" t="str">
        <x:v>墙饰</x:v>
      </x:c>
      <x:c r="G100" s="10" t="str">
        <x:v>星晶</x:v>
      </x:c>
      <x:c r="H100" s="10" t="str">
        <x:v>星晶</x:v>
      </x:c>
      <x:c r="I100" s="10" t="n">
        <x:v>480</x:v>
      </x:c>
      <x:c r="J100" s="10" t="str">
        <x:v>REG_12</x:v>
      </x:c>
      <x:c r="K100" s="10" t="str">
        <x:v>本主题上架后永久直购；赠晶也可付</x:v>
      </x:c>
      <x:c r="L100" s="10" t="str">
        <x:v>先保留2件；第三件起R30/SR120/SSR300金币</x:v>
      </x:c>
      <x:c r="M100" s="10" t="str">
        <x:v>黑岩、极光渐变、磨砂玻璃；流光窗框独立轮廓；SSR只加环境细节</x:v>
      </x:c>
      <x:c r="N100" s="10" t="str">
        <x:v>待制作</x:v>
      </x:c>
    </x:row>
    <x:row r="101" ht="48" customHeight="1">
      <x:c r="A101" s="9" t="str">
        <x:v>F_12_7</x:v>
      </x:c>
      <x:c r="B101" s="9" t="str">
        <x:v>SET_12</x:v>
      </x:c>
      <x:c r="C101" s="9" t="str">
        <x:v>夜幕地毯</x:v>
      </x:c>
      <x:c r="D101" s="9" t="str">
        <x:v>SSR</x:v>
      </x:c>
      <x:c r="E101" s="9" t="str">
        <x:v>首发</x:v>
      </x:c>
      <x:c r="F101" s="9" t="str">
        <x:v>地毯</x:v>
      </x:c>
      <x:c r="G101" s="9" t="str">
        <x:v>星晶</x:v>
      </x:c>
      <x:c r="H101" s="9" t="str">
        <x:v>星晶</x:v>
      </x:c>
      <x:c r="I101" s="9" t="n">
        <x:v>680</x:v>
      </x:c>
      <x:c r="J101" s="9" t="str">
        <x:v>REG_12</x:v>
      </x:c>
      <x:c r="K101" s="9" t="str">
        <x:v>本主题上架后永久直购；赠晶也可付</x:v>
      </x:c>
      <x:c r="L101" s="9" t="str">
        <x:v>先保留2件；第三件起R30/SR120/SSR300金币</x:v>
      </x:c>
      <x:c r="M101" s="9" t="str">
        <x:v>黑岩、极光渐变、磨砂玻璃；夜幕地毯独立轮廓；SSR只加环境细节</x:v>
      </x:c>
      <x:c r="N101" s="9" t="str">
        <x:v>待制作</x:v>
      </x:c>
    </x:row>
    <x:row r="102" ht="48" customHeight="1">
      <x:c r="A102" s="10" t="str">
        <x:v>F_12_8</x:v>
      </x:c>
      <x:c r="B102" s="10" t="str">
        <x:v>SET_12</x:v>
      </x:c>
      <x:c r="C102" s="10" t="str">
        <x:v>极光观测仪</x:v>
      </x:c>
      <x:c r="D102" s="10" t="str">
        <x:v>SSR</x:v>
      </x:c>
      <x:c r="E102" s="10" t="str">
        <x:v>首发</x:v>
      </x:c>
      <x:c r="F102" s="10" t="str">
        <x:v>落地</x:v>
      </x:c>
      <x:c r="G102" s="10" t="str">
        <x:v>星晶</x:v>
      </x:c>
      <x:c r="H102" s="10" t="str">
        <x:v>星晶</x:v>
      </x:c>
      <x:c r="I102" s="10" t="n">
        <x:v>980</x:v>
      </x:c>
      <x:c r="J102" s="10" t="str">
        <x:v>REG_12</x:v>
      </x:c>
      <x:c r="K102" s="10" t="str">
        <x:v>本主题上架后永久直购；赠晶也可付</x:v>
      </x:c>
      <x:c r="L102" s="10" t="str">
        <x:v>先保留2件；第三件起R30/SR120/SSR300金币</x:v>
      </x:c>
      <x:c r="M102" s="10" t="str">
        <x:v>黑岩、极光渐变、磨砂玻璃；极光观测仪独立轮廓；SSR只加环境细节</x:v>
      </x:c>
      <x:c r="N102" s="10" t="str">
        <x:v>待制作</x:v>
      </x:c>
    </x:row>
    <x:row r="103" ht="48" customHeight="1">
      <x:c r="A103" s="9" t="str">
        <x:v>F_13_1</x:v>
      </x:c>
      <x:c r="B103" s="9" t="str">
        <x:v>SET_13</x:v>
      </x:c>
      <x:c r="C103" s="9" t="str">
        <x:v>扎染坐墩</x:v>
      </x:c>
      <x:c r="D103" s="9" t="str">
        <x:v>R</x:v>
      </x:c>
      <x:c r="E103" s="9" t="str">
        <x:v>M2</x:v>
      </x:c>
      <x:c r="F103" s="9" t="str">
        <x:v>落地</x:v>
      </x:c>
      <x:c r="G103" s="9" t="str">
        <x:v>金币</x:v>
      </x:c>
      <x:c r="H103" s="9" t="str">
        <x:v>花园币</x:v>
      </x:c>
      <x:c r="I103" s="9" t="n">
        <x:v>180</x:v>
      </x:c>
      <x:c r="J103" s="9" t="str">
        <x:v>REG_13</x:v>
      </x:c>
      <x:c r="K103" s="9" t="str">
        <x:v>地区首访后金币货架永久开放</x:v>
      </x:c>
      <x:c r="L103" s="9" t="str">
        <x:v>先保留2件；第三件起R30/SR120/SSR300金币</x:v>
      </x:c>
      <x:c r="M103" s="9" t="str">
        <x:v>扎染蓝、兰紫、通透玻璃；扎染坐墩独立轮廓；SSR只加环境细节</x:v>
      </x:c>
      <x:c r="N103" s="9" t="str">
        <x:v>待制作</x:v>
      </x:c>
    </x:row>
    <x:row r="104" ht="48" customHeight="1">
      <x:c r="A104" s="10" t="str">
        <x:v>F_13_2</x:v>
      </x:c>
      <x:c r="B104" s="10" t="str">
        <x:v>SET_13</x:v>
      </x:c>
      <x:c r="C104" s="10" t="str">
        <x:v>兰花立灯</x:v>
      </x:c>
      <x:c r="D104" s="10" t="str">
        <x:v>R</x:v>
      </x:c>
      <x:c r="E104" s="10" t="str">
        <x:v>M2</x:v>
      </x:c>
      <x:c r="F104" s="10" t="str">
        <x:v>落地</x:v>
      </x:c>
      <x:c r="G104" s="10" t="str">
        <x:v>金币</x:v>
      </x:c>
      <x:c r="H104" s="10" t="str">
        <x:v>花园币</x:v>
      </x:c>
      <x:c r="I104" s="10" t="n">
        <x:v>360</x:v>
      </x:c>
      <x:c r="J104" s="10" t="str">
        <x:v>REG_13</x:v>
      </x:c>
      <x:c r="K104" s="10" t="str">
        <x:v>地区首访后金币货架永久开放</x:v>
      </x:c>
      <x:c r="L104" s="10" t="str">
        <x:v>先保留2件；第三件起R30/SR120/SSR300金币</x:v>
      </x:c>
      <x:c r="M104" s="10" t="str">
        <x:v>扎染蓝、兰紫、通透玻璃；兰花立灯独立轮廓；SSR只加环境细节</x:v>
      </x:c>
      <x:c r="N104" s="10" t="str">
        <x:v>待制作</x:v>
      </x:c>
    </x:row>
    <x:row r="105" ht="48" customHeight="1">
      <x:c r="A105" s="9" t="str">
        <x:v>F_13_3</x:v>
      </x:c>
      <x:c r="B105" s="9" t="str">
        <x:v>SET_13</x:v>
      </x:c>
      <x:c r="C105" s="9" t="str">
        <x:v>风花圆几</x:v>
      </x:c>
      <x:c r="D105" s="9" t="str">
        <x:v>R</x:v>
      </x:c>
      <x:c r="E105" s="9" t="str">
        <x:v>M2</x:v>
      </x:c>
      <x:c r="F105" s="9" t="str">
        <x:v>落地</x:v>
      </x:c>
      <x:c r="G105" s="9" t="str">
        <x:v>金币</x:v>
      </x:c>
      <x:c r="H105" s="9" t="str">
        <x:v>花园币</x:v>
      </x:c>
      <x:c r="I105" s="9" t="n">
        <x:v>600</x:v>
      </x:c>
      <x:c r="J105" s="9" t="str">
        <x:v>REG_13</x:v>
      </x:c>
      <x:c r="K105" s="9" t="str">
        <x:v>地区首访后金币货架永久开放</x:v>
      </x:c>
      <x:c r="L105" s="9" t="str">
        <x:v>先保留2件；第三件起R30/SR120/SSR300金币</x:v>
      </x:c>
      <x:c r="M105" s="9" t="str">
        <x:v>扎染蓝、兰紫、通透玻璃；风花圆几独立轮廓；SSR只加环境细节</x:v>
      </x:c>
      <x:c r="N105" s="9" t="str">
        <x:v>待制作</x:v>
      </x:c>
    </x:row>
    <x:row r="106" ht="48" customHeight="1">
      <x:c r="A106" s="10" t="str">
        <x:v>F_13_4</x:v>
      </x:c>
      <x:c r="B106" s="10" t="str">
        <x:v>SET_13</x:v>
      </x:c>
      <x:c r="C106" s="10" t="str">
        <x:v>云纱长椅</x:v>
      </x:c>
      <x:c r="D106" s="10" t="str">
        <x:v>SR</x:v>
      </x:c>
      <x:c r="E106" s="10" t="str">
        <x:v>M2</x:v>
      </x:c>
      <x:c r="F106" s="10" t="str">
        <x:v>落地</x:v>
      </x:c>
      <x:c r="G106" s="10" t="str">
        <x:v>见闻</x:v>
      </x:c>
      <x:c r="H106" s="10" t="str">
        <x:v>地区见闻</x:v>
      </x:c>
      <x:c r="I106" s="10" t="n">
        <x:v>0</x:v>
      </x:c>
      <x:c r="J106" s="10" t="str">
        <x:v>REG_13</x:v>
      </x:c>
      <x:c r="K106" s="10" t="str">
        <x:v>本地区6次普通旅行</x:v>
      </x:c>
      <x:c r="L106" s="10" t="str">
        <x:v>先保留2件；第三件起R30/SR120/SSR300金币</x:v>
      </x:c>
      <x:c r="M106" s="10" t="str">
        <x:v>扎染蓝、兰紫、通透玻璃；云纱长椅独立轮廓；SSR只加环境细节</x:v>
      </x:c>
      <x:c r="N106" s="10" t="str">
        <x:v>待制作</x:v>
      </x:c>
    </x:row>
    <x:row r="107" ht="48" customHeight="1">
      <x:c r="A107" s="9" t="str">
        <x:v>F_13_5</x:v>
      </x:c>
      <x:c r="B107" s="9" t="str">
        <x:v>SET_13</x:v>
      </x:c>
      <x:c r="C107" s="9" t="str">
        <x:v>兰花种植架</x:v>
      </x:c>
      <x:c r="D107" s="9" t="str">
        <x:v>SR</x:v>
      </x:c>
      <x:c r="E107" s="9" t="str">
        <x:v>M2</x:v>
      </x:c>
      <x:c r="F107" s="9" t="str">
        <x:v>落地</x:v>
      </x:c>
      <x:c r="G107" s="9" t="str">
        <x:v>见闻</x:v>
      </x:c>
      <x:c r="H107" s="9" t="str">
        <x:v>地区见闻</x:v>
      </x:c>
      <x:c r="I107" s="9" t="n">
        <x:v>0</x:v>
      </x:c>
      <x:c r="J107" s="9" t="str">
        <x:v>REG_13</x:v>
      </x:c>
      <x:c r="K107" s="9" t="str">
        <x:v>本地区6次普通旅行</x:v>
      </x:c>
      <x:c r="L107" s="9" t="str">
        <x:v>先保留2件；第三件起R30/SR120/SSR300金币</x:v>
      </x:c>
      <x:c r="M107" s="9" t="str">
        <x:v>扎染蓝、兰紫、通透玻璃；兰花种植架独立轮廓；SSR只加环境细节</x:v>
      </x:c>
      <x:c r="N107" s="9" t="str">
        <x:v>待制作</x:v>
      </x:c>
    </x:row>
    <x:row r="108" ht="48" customHeight="1">
      <x:c r="A108" s="10" t="str">
        <x:v>F_13_6</x:v>
      </x:c>
      <x:c r="B108" s="10" t="str">
        <x:v>SET_13</x:v>
      </x:c>
      <x:c r="C108" s="10" t="str">
        <x:v>风铃壁饰</x:v>
      </x:c>
      <x:c r="D108" s="10" t="str">
        <x:v>SR</x:v>
      </x:c>
      <x:c r="E108" s="10" t="str">
        <x:v>M2</x:v>
      </x:c>
      <x:c r="F108" s="10" t="str">
        <x:v>墙饰</x:v>
      </x:c>
      <x:c r="G108" s="10" t="str">
        <x:v>见闻</x:v>
      </x:c>
      <x:c r="H108" s="10" t="str">
        <x:v>地区见闻</x:v>
      </x:c>
      <x:c r="I108" s="10" t="n">
        <x:v>0</x:v>
      </x:c>
      <x:c r="J108" s="10" t="str">
        <x:v>REG_13</x:v>
      </x:c>
      <x:c r="K108" s="10" t="str">
        <x:v>本地区6次普通旅行</x:v>
      </x:c>
      <x:c r="L108" s="10" t="str">
        <x:v>先保留2件；第三件起R30/SR120/SSR300金币</x:v>
      </x:c>
      <x:c r="M108" s="10" t="str">
        <x:v>扎染蓝、兰紫、通透玻璃；风铃壁饰独立轮廓；SSR只加环境细节</x:v>
      </x:c>
      <x:c r="N108" s="10" t="str">
        <x:v>待制作</x:v>
      </x:c>
    </x:row>
    <x:row r="109" ht="48" customHeight="1">
      <x:c r="A109" s="9" t="str">
        <x:v>F_13_7</x:v>
      </x:c>
      <x:c r="B109" s="9" t="str">
        <x:v>SET_13</x:v>
      </x:c>
      <x:c r="C109" s="9" t="str">
        <x:v>扎染地毯</x:v>
      </x:c>
      <x:c r="D109" s="9" t="str">
        <x:v>SSR</x:v>
      </x:c>
      <x:c r="E109" s="9" t="str">
        <x:v>M2</x:v>
      </x:c>
      <x:c r="F109" s="9" t="str">
        <x:v>地毯</x:v>
      </x:c>
      <x:c r="G109" s="9" t="str">
        <x:v>见闻</x:v>
      </x:c>
      <x:c r="H109" s="9" t="str">
        <x:v>地区见闻</x:v>
      </x:c>
      <x:c r="I109" s="9" t="n">
        <x:v>0</x:v>
      </x:c>
      <x:c r="J109" s="9" t="str">
        <x:v>REG_13</x:v>
      </x:c>
      <x:c r="K109" s="9" t="str">
        <x:v>本地区12次普通旅行</x:v>
      </x:c>
      <x:c r="L109" s="9" t="str">
        <x:v>先保留2件；第三件起R30/SR120/SSR300金币</x:v>
      </x:c>
      <x:c r="M109" s="9" t="str">
        <x:v>扎染蓝、兰紫、通透玻璃；扎染地毯独立轮廓；SSR只加环境细节</x:v>
      </x:c>
      <x:c r="N109" s="9" t="str">
        <x:v>待制作</x:v>
      </x:c>
    </x:row>
    <x:row r="110" ht="48" customHeight="1">
      <x:c r="A110" s="10" t="str">
        <x:v>F_13_8</x:v>
      </x:c>
      <x:c r="B110" s="10" t="str">
        <x:v>SET_13</x:v>
      </x:c>
      <x:c r="C110" s="10" t="str">
        <x:v>玻璃雨亭</x:v>
      </x:c>
      <x:c r="D110" s="10" t="str">
        <x:v>SSR</x:v>
      </x:c>
      <x:c r="E110" s="10" t="str">
        <x:v>M2</x:v>
      </x:c>
      <x:c r="F110" s="10" t="str">
        <x:v>落地</x:v>
      </x:c>
      <x:c r="G110" s="10" t="str">
        <x:v>见闻</x:v>
      </x:c>
      <x:c r="H110" s="10" t="str">
        <x:v>地区见闻</x:v>
      </x:c>
      <x:c r="I110" s="10" t="n">
        <x:v>0</x:v>
      </x:c>
      <x:c r="J110" s="10" t="str">
        <x:v>REG_13</x:v>
      </x:c>
      <x:c r="K110" s="10" t="str">
        <x:v>本地区12次普通旅行</x:v>
      </x:c>
      <x:c r="L110" s="10" t="str">
        <x:v>先保留2件；第三件起R30/SR120/SSR300金币</x:v>
      </x:c>
      <x:c r="M110" s="10" t="str">
        <x:v>扎染蓝、兰紫、通透玻璃；玻璃雨亭独立轮廓；SSR只加环境细节</x:v>
      </x:c>
      <x:c r="N110" s="10" t="str">
        <x:v>待制作</x:v>
      </x:c>
    </x:row>
    <x:row r="111" ht="48" customHeight="1">
      <x:c r="A111" s="9" t="str">
        <x:v>F_14_1</x:v>
      </x:c>
      <x:c r="B111" s="9" t="str">
        <x:v>SET_14</x:v>
      </x:c>
      <x:c r="C111" s="9" t="str">
        <x:v>花瓣软凳</x:v>
      </x:c>
      <x:c r="D111" s="9" t="str">
        <x:v>R</x:v>
      </x:c>
      <x:c r="E111" s="9" t="str">
        <x:v>M2</x:v>
      </x:c>
      <x:c r="F111" s="9" t="str">
        <x:v>落地</x:v>
      </x:c>
      <x:c r="G111" s="9" t="str">
        <x:v>星晶</x:v>
      </x:c>
      <x:c r="H111" s="9" t="str">
        <x:v>星晶</x:v>
      </x:c>
      <x:c r="I111" s="9" t="n">
        <x:v>120</x:v>
      </x:c>
      <x:c r="J111" s="9" t="str">
        <x:v>REG_15</x:v>
      </x:c>
      <x:c r="K111" s="9" t="str">
        <x:v>本主题上架后永久直购；赠晶也可付</x:v>
      </x:c>
      <x:c r="L111" s="9" t="str">
        <x:v>先保留2件；第三件起R30/SR120/SSR300金币</x:v>
      </x:c>
      <x:c r="M111" s="9" t="str">
        <x:v>彩玻璃、帝王花、石白；花瓣软凳独立轮廓；SSR只加环境细节</x:v>
      </x:c>
      <x:c r="N111" s="9" t="str">
        <x:v>待制作</x:v>
      </x:c>
    </x:row>
    <x:row r="112" ht="48" customHeight="1">
      <x:c r="A112" s="10" t="str">
        <x:v>F_14_2</x:v>
      </x:c>
      <x:c r="B112" s="10" t="str">
        <x:v>SET_14</x:v>
      </x:c>
      <x:c r="C112" s="10" t="str">
        <x:v>彩璃立灯</x:v>
      </x:c>
      <x:c r="D112" s="10" t="str">
        <x:v>R</x:v>
      </x:c>
      <x:c r="E112" s="10" t="str">
        <x:v>M2</x:v>
      </x:c>
      <x:c r="F112" s="10" t="str">
        <x:v>落地</x:v>
      </x:c>
      <x:c r="G112" s="10" t="str">
        <x:v>星晶</x:v>
      </x:c>
      <x:c r="H112" s="10" t="str">
        <x:v>星晶</x:v>
      </x:c>
      <x:c r="I112" s="10" t="n">
        <x:v>180</x:v>
      </x:c>
      <x:c r="J112" s="10" t="str">
        <x:v>REG_15</x:v>
      </x:c>
      <x:c r="K112" s="10" t="str">
        <x:v>本主题上架后永久直购；赠晶也可付</x:v>
      </x:c>
      <x:c r="L112" s="10" t="str">
        <x:v>先保留2件；第三件起R30/SR120/SSR300金币</x:v>
      </x:c>
      <x:c r="M112" s="10" t="str">
        <x:v>彩玻璃、帝王花、石白；彩璃立灯独立轮廓；SSR只加环境细节</x:v>
      </x:c>
      <x:c r="N112" s="10" t="str">
        <x:v>待制作</x:v>
      </x:c>
    </x:row>
    <x:row r="113" ht="48" customHeight="1">
      <x:c r="A113" s="9" t="str">
        <x:v>F_14_3</x:v>
      </x:c>
      <x:c r="B113" s="9" t="str">
        <x:v>SET_14</x:v>
      </x:c>
      <x:c r="C113" s="9" t="str">
        <x:v>彩窗圆几</x:v>
      </x:c>
      <x:c r="D113" s="9" t="str">
        <x:v>R</x:v>
      </x:c>
      <x:c r="E113" s="9" t="str">
        <x:v>M2</x:v>
      </x:c>
      <x:c r="F113" s="9" t="str">
        <x:v>落地</x:v>
      </x:c>
      <x:c r="G113" s="9" t="str">
        <x:v>星晶</x:v>
      </x:c>
      <x:c r="H113" s="9" t="str">
        <x:v>星晶</x:v>
      </x:c>
      <x:c r="I113" s="9" t="n">
        <x:v>240</x:v>
      </x:c>
      <x:c r="J113" s="9" t="str">
        <x:v>REG_15</x:v>
      </x:c>
      <x:c r="K113" s="9" t="str">
        <x:v>本主题上架后永久直购；赠晶也可付</x:v>
      </x:c>
      <x:c r="L113" s="9" t="str">
        <x:v>先保留2件；第三件起R30/SR120/SSR300金币</x:v>
      </x:c>
      <x:c r="M113" s="9" t="str">
        <x:v>彩玻璃、帝王花、石白；彩窗圆几独立轮廓；SSR只加环境细节</x:v>
      </x:c>
      <x:c r="N113" s="9" t="str">
        <x:v>待制作</x:v>
      </x:c>
    </x:row>
    <x:row r="114" ht="48" customHeight="1">
      <x:c r="A114" s="10" t="str">
        <x:v>F_14_4</x:v>
      </x:c>
      <x:c r="B114" s="10" t="str">
        <x:v>SET_14</x:v>
      </x:c>
      <x:c r="C114" s="10" t="str">
        <x:v>花廊双人椅</x:v>
      </x:c>
      <x:c r="D114" s="10" t="str">
        <x:v>SR</x:v>
      </x:c>
      <x:c r="E114" s="10" t="str">
        <x:v>M2</x:v>
      </x:c>
      <x:c r="F114" s="10" t="str">
        <x:v>落地</x:v>
      </x:c>
      <x:c r="G114" s="10" t="str">
        <x:v>星晶</x:v>
      </x:c>
      <x:c r="H114" s="10" t="str">
        <x:v>星晶</x:v>
      </x:c>
      <x:c r="I114" s="10" t="n">
        <x:v>360</x:v>
      </x:c>
      <x:c r="J114" s="10" t="str">
        <x:v>REG_15</x:v>
      </x:c>
      <x:c r="K114" s="10" t="str">
        <x:v>本主题上架后永久直购；赠晶也可付</x:v>
      </x:c>
      <x:c r="L114" s="10" t="str">
        <x:v>先保留2件；第三件起R30/SR120/SSR300金币</x:v>
      </x:c>
      <x:c r="M114" s="10" t="str">
        <x:v>彩玻璃、帝王花、石白；花廊双人椅独立轮廓；SSR只加环境细节</x:v>
      </x:c>
      <x:c r="N114" s="10" t="str">
        <x:v>待制作</x:v>
      </x:c>
    </x:row>
    <x:row r="115" ht="48" customHeight="1">
      <x:c r="A115" s="9" t="str">
        <x:v>F_14_5</x:v>
      </x:c>
      <x:c r="B115" s="9" t="str">
        <x:v>SET_14</x:v>
      </x:c>
      <x:c r="C115" s="9" t="str">
        <x:v>玻璃花架</x:v>
      </x:c>
      <x:c r="D115" s="9" t="str">
        <x:v>SR</x:v>
      </x:c>
      <x:c r="E115" s="9" t="str">
        <x:v>M2</x:v>
      </x:c>
      <x:c r="F115" s="9" t="str">
        <x:v>落地</x:v>
      </x:c>
      <x:c r="G115" s="9" t="str">
        <x:v>星晶</x:v>
      </x:c>
      <x:c r="H115" s="9" t="str">
        <x:v>星晶</x:v>
      </x:c>
      <x:c r="I115" s="9" t="n">
        <x:v>480</x:v>
      </x:c>
      <x:c r="J115" s="9" t="str">
        <x:v>REG_15</x:v>
      </x:c>
      <x:c r="K115" s="9" t="str">
        <x:v>本主题上架后永久直购；赠晶也可付</x:v>
      </x:c>
      <x:c r="L115" s="9" t="str">
        <x:v>先保留2件；第三件起R30/SR120/SSR300金币</x:v>
      </x:c>
      <x:c r="M115" s="9" t="str">
        <x:v>彩玻璃、帝王花、石白；玻璃花架独立轮廓；SSR只加环境细节</x:v>
      </x:c>
      <x:c r="N115" s="9" t="str">
        <x:v>待制作</x:v>
      </x:c>
    </x:row>
    <x:row r="116" ht="48" customHeight="1">
      <x:c r="A116" s="10" t="str">
        <x:v>F_14_6</x:v>
      </x:c>
      <x:c r="B116" s="10" t="str">
        <x:v>SET_14</x:v>
      </x:c>
      <x:c r="C116" s="10" t="str">
        <x:v>彩璃挂饰</x:v>
      </x:c>
      <x:c r="D116" s="10" t="str">
        <x:v>SR</x:v>
      </x:c>
      <x:c r="E116" s="10" t="str">
        <x:v>M2</x:v>
      </x:c>
      <x:c r="F116" s="10" t="str">
        <x:v>墙饰</x:v>
      </x:c>
      <x:c r="G116" s="10" t="str">
        <x:v>星晶</x:v>
      </x:c>
      <x:c r="H116" s="10" t="str">
        <x:v>星晶</x:v>
      </x:c>
      <x:c r="I116" s="10" t="n">
        <x:v>480</x:v>
      </x:c>
      <x:c r="J116" s="10" t="str">
        <x:v>REG_15</x:v>
      </x:c>
      <x:c r="K116" s="10" t="str">
        <x:v>本主题上架后永久直购；赠晶也可付</x:v>
      </x:c>
      <x:c r="L116" s="10" t="str">
        <x:v>先保留2件；第三件起R30/SR120/SSR300金币</x:v>
      </x:c>
      <x:c r="M116" s="10" t="str">
        <x:v>彩玻璃、帝王花、石白；彩璃挂饰独立轮廓；SSR只加环境细节</x:v>
      </x:c>
      <x:c r="N116" s="10" t="str">
        <x:v>待制作</x:v>
      </x:c>
    </x:row>
    <x:row r="117" ht="48" customHeight="1">
      <x:c r="A117" s="9" t="str">
        <x:v>F_14_7</x:v>
      </x:c>
      <x:c r="B117" s="9" t="str">
        <x:v>SET_14</x:v>
      </x:c>
      <x:c r="C117" s="9" t="str">
        <x:v>花影地毯</x:v>
      </x:c>
      <x:c r="D117" s="9" t="str">
        <x:v>SSR</x:v>
      </x:c>
      <x:c r="E117" s="9" t="str">
        <x:v>M2</x:v>
      </x:c>
      <x:c r="F117" s="9" t="str">
        <x:v>地毯</x:v>
      </x:c>
      <x:c r="G117" s="9" t="str">
        <x:v>星晶</x:v>
      </x:c>
      <x:c r="H117" s="9" t="str">
        <x:v>星晶</x:v>
      </x:c>
      <x:c r="I117" s="9" t="n">
        <x:v>680</x:v>
      </x:c>
      <x:c r="J117" s="9" t="str">
        <x:v>REG_15</x:v>
      </x:c>
      <x:c r="K117" s="9" t="str">
        <x:v>本主题上架后永久直购；赠晶也可付</x:v>
      </x:c>
      <x:c r="L117" s="9" t="str">
        <x:v>先保留2件；第三件起R30/SR120/SSR300金币</x:v>
      </x:c>
      <x:c r="M117" s="9" t="str">
        <x:v>彩玻璃、帝王花、石白；花影地毯独立轮廓；SSR只加环境细节</x:v>
      </x:c>
      <x:c r="N117" s="9" t="str">
        <x:v>待制作</x:v>
      </x:c>
    </x:row>
    <x:row r="118" ht="48" customHeight="1">
      <x:c r="A118" s="10" t="str">
        <x:v>F_14_8</x:v>
      </x:c>
      <x:c r="B118" s="10" t="str">
        <x:v>SET_14</x:v>
      </x:c>
      <x:c r="C118" s="10" t="str">
        <x:v>彩璃穹顶</x:v>
      </x:c>
      <x:c r="D118" s="10" t="str">
        <x:v>SSR</x:v>
      </x:c>
      <x:c r="E118" s="10" t="str">
        <x:v>M2</x:v>
      </x:c>
      <x:c r="F118" s="10" t="str">
        <x:v>落地</x:v>
      </x:c>
      <x:c r="G118" s="10" t="str">
        <x:v>星晶</x:v>
      </x:c>
      <x:c r="H118" s="10" t="str">
        <x:v>星晶</x:v>
      </x:c>
      <x:c r="I118" s="10" t="n">
        <x:v>980</x:v>
      </x:c>
      <x:c r="J118" s="10" t="str">
        <x:v>REG_15</x:v>
      </x:c>
      <x:c r="K118" s="10" t="str">
        <x:v>本主题上架后永久直购；赠晶也可付</x:v>
      </x:c>
      <x:c r="L118" s="10" t="str">
        <x:v>先保留2件；第三件起R30/SR120/SSR300金币</x:v>
      </x:c>
      <x:c r="M118" s="10" t="str">
        <x:v>彩玻璃、帝王花、石白；彩璃穹顶独立轮廓；SSR只加环境细节</x:v>
      </x:c>
      <x:c r="N118" s="10" t="str">
        <x:v>待制作</x:v>
      </x:c>
    </x:row>
    <x:row r="119" ht="48" customHeight="1">
      <x:c r="A119" s="9" t="str">
        <x:v>F_15_1</x:v>
      </x:c>
      <x:c r="B119" s="9" t="str">
        <x:v>SET_15</x:v>
      </x:c>
      <x:c r="C119" s="9" t="str">
        <x:v>蓝瓷坐墩</x:v>
      </x:c>
      <x:c r="D119" s="9" t="str">
        <x:v>R</x:v>
      </x:c>
      <x:c r="E119" s="9" t="str">
        <x:v>M3</x:v>
      </x:c>
      <x:c r="F119" s="9" t="str">
        <x:v>落地</x:v>
      </x:c>
      <x:c r="G119" s="9" t="str">
        <x:v>金币</x:v>
      </x:c>
      <x:c r="H119" s="9" t="str">
        <x:v>花园币</x:v>
      </x:c>
      <x:c r="I119" s="9" t="n">
        <x:v>180</x:v>
      </x:c>
      <x:c r="J119" s="9" t="str">
        <x:v>REG_17</x:v>
      </x:c>
      <x:c r="K119" s="9" t="str">
        <x:v>地区首访后金币货架永久开放</x:v>
      </x:c>
      <x:c r="L119" s="9" t="str">
        <x:v>先保留2件；第三件起R30/SR120/SSR300金币</x:v>
      </x:c>
      <x:c r="M119" s="9" t="str">
        <x:v>蓝瓷、冷杉、银线；蓝瓷坐墩独立轮廓；SSR只加环境细节</x:v>
      </x:c>
      <x:c r="N119" s="9" t="str">
        <x:v>待制作</x:v>
      </x:c>
    </x:row>
    <x:row r="120" ht="48" customHeight="1">
      <x:c r="A120" s="10" t="str">
        <x:v>F_15_2</x:v>
      </x:c>
      <x:c r="B120" s="10" t="str">
        <x:v>SET_15</x:v>
      </x:c>
      <x:c r="C120" s="10" t="str">
        <x:v>峡湾立灯</x:v>
      </x:c>
      <x:c r="D120" s="10" t="str">
        <x:v>R</x:v>
      </x:c>
      <x:c r="E120" s="10" t="str">
        <x:v>M3</x:v>
      </x:c>
      <x:c r="F120" s="10" t="str">
        <x:v>落地</x:v>
      </x:c>
      <x:c r="G120" s="10" t="str">
        <x:v>金币</x:v>
      </x:c>
      <x:c r="H120" s="10" t="str">
        <x:v>花园币</x:v>
      </x:c>
      <x:c r="I120" s="10" t="n">
        <x:v>360</x:v>
      </x:c>
      <x:c r="J120" s="10" t="str">
        <x:v>REG_17</x:v>
      </x:c>
      <x:c r="K120" s="10" t="str">
        <x:v>地区首访后金币货架永久开放</x:v>
      </x:c>
      <x:c r="L120" s="10" t="str">
        <x:v>先保留2件；第三件起R30/SR120/SSR300金币</x:v>
      </x:c>
      <x:c r="M120" s="10" t="str">
        <x:v>蓝瓷、冷杉、银线；峡湾立灯独立轮廓；SSR只加环境细节</x:v>
      </x:c>
      <x:c r="N120" s="10" t="str">
        <x:v>待制作</x:v>
      </x:c>
    </x:row>
    <x:row r="121" ht="48" customHeight="1">
      <x:c r="A121" s="9" t="str">
        <x:v>F_15_3</x:v>
      </x:c>
      <x:c r="B121" s="9" t="str">
        <x:v>SET_15</x:v>
      </x:c>
      <x:c r="C121" s="9" t="str">
        <x:v>瓷纹茶几</x:v>
      </x:c>
      <x:c r="D121" s="9" t="str">
        <x:v>R</x:v>
      </x:c>
      <x:c r="E121" s="9" t="str">
        <x:v>M3</x:v>
      </x:c>
      <x:c r="F121" s="9" t="str">
        <x:v>落地</x:v>
      </x:c>
      <x:c r="G121" s="9" t="str">
        <x:v>金币</x:v>
      </x:c>
      <x:c r="H121" s="9" t="str">
        <x:v>花园币</x:v>
      </x:c>
      <x:c r="I121" s="9" t="n">
        <x:v>600</x:v>
      </x:c>
      <x:c r="J121" s="9" t="str">
        <x:v>REG_17</x:v>
      </x:c>
      <x:c r="K121" s="9" t="str">
        <x:v>地区首访后金币货架永久开放</x:v>
      </x:c>
      <x:c r="L121" s="9" t="str">
        <x:v>先保留2件；第三件起R30/SR120/SSR300金币</x:v>
      </x:c>
      <x:c r="M121" s="9" t="str">
        <x:v>蓝瓷、冷杉、银线；瓷纹茶几独立轮廓；SSR只加环境细节</x:v>
      </x:c>
      <x:c r="N121" s="9" t="str">
        <x:v>待制作</x:v>
      </x:c>
    </x:row>
    <x:row r="122" ht="48" customHeight="1">
      <x:c r="A122" s="10" t="str">
        <x:v>F_15_4</x:v>
      </x:c>
      <x:c r="B122" s="10" t="str">
        <x:v>SET_15</x:v>
      </x:c>
      <x:c r="C122" s="10" t="str">
        <x:v>冷杉长椅</x:v>
      </x:c>
      <x:c r="D122" s="10" t="str">
        <x:v>SR</x:v>
      </x:c>
      <x:c r="E122" s="10" t="str">
        <x:v>M3</x:v>
      </x:c>
      <x:c r="F122" s="10" t="str">
        <x:v>落地</x:v>
      </x:c>
      <x:c r="G122" s="10" t="str">
        <x:v>见闻</x:v>
      </x:c>
      <x:c r="H122" s="10" t="str">
        <x:v>地区见闻</x:v>
      </x:c>
      <x:c r="I122" s="10" t="n">
        <x:v>0</x:v>
      </x:c>
      <x:c r="J122" s="10" t="str">
        <x:v>REG_17</x:v>
      </x:c>
      <x:c r="K122" s="10" t="str">
        <x:v>本地区6次普通旅行</x:v>
      </x:c>
      <x:c r="L122" s="10" t="str">
        <x:v>先保留2件；第三件起R30/SR120/SSR300金币</x:v>
      </x:c>
      <x:c r="M122" s="10" t="str">
        <x:v>蓝瓷、冷杉、银线；冷杉长椅独立轮廓；SSR只加环境细节</x:v>
      </x:c>
      <x:c r="N122" s="10" t="str">
        <x:v>待制作</x:v>
      </x:c>
    </x:row>
    <x:row r="123" ht="48" customHeight="1">
      <x:c r="A123" s="9" t="str">
        <x:v>F_15_5</x:v>
      </x:c>
      <x:c r="B123" s="9" t="str">
        <x:v>SET_15</x:v>
      </x:c>
      <x:c r="C123" s="9" t="str">
        <x:v>海图陈列架</x:v>
      </x:c>
      <x:c r="D123" s="9" t="str">
        <x:v>SR</x:v>
      </x:c>
      <x:c r="E123" s="9" t="str">
        <x:v>M3</x:v>
      </x:c>
      <x:c r="F123" s="9" t="str">
        <x:v>落地</x:v>
      </x:c>
      <x:c r="G123" s="9" t="str">
        <x:v>见闻</x:v>
      </x:c>
      <x:c r="H123" s="9" t="str">
        <x:v>地区见闻</x:v>
      </x:c>
      <x:c r="I123" s="9" t="n">
        <x:v>0</x:v>
      </x:c>
      <x:c r="J123" s="9" t="str">
        <x:v>REG_17</x:v>
      </x:c>
      <x:c r="K123" s="9" t="str">
        <x:v>本地区6次普通旅行</x:v>
      </x:c>
      <x:c r="L123" s="9" t="str">
        <x:v>先保留2件；第三件起R30/SR120/SSR300金币</x:v>
      </x:c>
      <x:c r="M123" s="9" t="str">
        <x:v>蓝瓷、冷杉、银线；海图陈列架独立轮廓；SSR只加环境细节</x:v>
      </x:c>
      <x:c r="N123" s="9" t="str">
        <x:v>待制作</x:v>
      </x:c>
    </x:row>
    <x:row r="124" ht="48" customHeight="1">
      <x:c r="A124" s="10" t="str">
        <x:v>F_15_6</x:v>
      </x:c>
      <x:c r="B124" s="10" t="str">
        <x:v>SET_15</x:v>
      </x:c>
      <x:c r="C124" s="10" t="str">
        <x:v>峡湾挂画</x:v>
      </x:c>
      <x:c r="D124" s="10" t="str">
        <x:v>SR</x:v>
      </x:c>
      <x:c r="E124" s="10" t="str">
        <x:v>M3</x:v>
      </x:c>
      <x:c r="F124" s="10" t="str">
        <x:v>墙饰</x:v>
      </x:c>
      <x:c r="G124" s="10" t="str">
        <x:v>见闻</x:v>
      </x:c>
      <x:c r="H124" s="10" t="str">
        <x:v>地区见闻</x:v>
      </x:c>
      <x:c r="I124" s="10" t="n">
        <x:v>0</x:v>
      </x:c>
      <x:c r="J124" s="10" t="str">
        <x:v>REG_17</x:v>
      </x:c>
      <x:c r="K124" s="10" t="str">
        <x:v>本地区6次普通旅行</x:v>
      </x:c>
      <x:c r="L124" s="10" t="str">
        <x:v>先保留2件；第三件起R30/SR120/SSR300金币</x:v>
      </x:c>
      <x:c r="M124" s="10" t="str">
        <x:v>蓝瓷、冷杉、银线；峡湾挂画独立轮廓；SSR只加环境细节</x:v>
      </x:c>
      <x:c r="N124" s="10" t="str">
        <x:v>待制作</x:v>
      </x:c>
    </x:row>
    <x:row r="125" ht="48" customHeight="1">
      <x:c r="A125" s="9" t="str">
        <x:v>F_15_7</x:v>
      </x:c>
      <x:c r="B125" s="9" t="str">
        <x:v>SET_15</x:v>
      </x:c>
      <x:c r="C125" s="9" t="str">
        <x:v>银线织毯</x:v>
      </x:c>
      <x:c r="D125" s="9" t="str">
        <x:v>SSR</x:v>
      </x:c>
      <x:c r="E125" s="9" t="str">
        <x:v>M3</x:v>
      </x:c>
      <x:c r="F125" s="9" t="str">
        <x:v>地毯</x:v>
      </x:c>
      <x:c r="G125" s="9" t="str">
        <x:v>见闻</x:v>
      </x:c>
      <x:c r="H125" s="9" t="str">
        <x:v>地区见闻</x:v>
      </x:c>
      <x:c r="I125" s="9" t="n">
        <x:v>0</x:v>
      </x:c>
      <x:c r="J125" s="9" t="str">
        <x:v>REG_17</x:v>
      </x:c>
      <x:c r="K125" s="9" t="str">
        <x:v>本地区12次普通旅行</x:v>
      </x:c>
      <x:c r="L125" s="9" t="str">
        <x:v>先保留2件；第三件起R30/SR120/SSR300金币</x:v>
      </x:c>
      <x:c r="M125" s="9" t="str">
        <x:v>蓝瓷、冷杉、银线；银线织毯独立轮廓；SSR只加环境细节</x:v>
      </x:c>
      <x:c r="N125" s="9" t="str">
        <x:v>待制作</x:v>
      </x:c>
    </x:row>
    <x:row r="126" ht="48" customHeight="1">
      <x:c r="A126" s="10" t="str">
        <x:v>F_15_8</x:v>
      </x:c>
      <x:c r="B126" s="10" t="str">
        <x:v>SET_15</x:v>
      </x:c>
      <x:c r="C126" s="10" t="str">
        <x:v>峡湾水景</x:v>
      </x:c>
      <x:c r="D126" s="10" t="str">
        <x:v>SSR</x:v>
      </x:c>
      <x:c r="E126" s="10" t="str">
        <x:v>M3</x:v>
      </x:c>
      <x:c r="F126" s="10" t="str">
        <x:v>落地</x:v>
      </x:c>
      <x:c r="G126" s="10" t="str">
        <x:v>见闻</x:v>
      </x:c>
      <x:c r="H126" s="10" t="str">
        <x:v>地区见闻</x:v>
      </x:c>
      <x:c r="I126" s="10" t="n">
        <x:v>0</x:v>
      </x:c>
      <x:c r="J126" s="10" t="str">
        <x:v>REG_17</x:v>
      </x:c>
      <x:c r="K126" s="10" t="str">
        <x:v>本地区12次普通旅行</x:v>
      </x:c>
      <x:c r="L126" s="10" t="str">
        <x:v>先保留2件；第三件起R30/SR120/SSR300金币</x:v>
      </x:c>
      <x:c r="M126" s="10" t="str">
        <x:v>蓝瓷、冷杉、银线；峡湾水景独立轮廓；SSR只加环境细节</x:v>
      </x:c>
      <x:c r="N126" s="10" t="str">
        <x:v>待制作</x:v>
      </x:c>
    </x:row>
    <x:row r="127" ht="48" customHeight="1">
      <x:c r="A127" s="9" t="str">
        <x:v>F_16_1</x:v>
      </x:c>
      <x:c r="B127" s="9" t="str">
        <x:v>SET_16</x:v>
      </x:c>
      <x:c r="C127" s="9" t="str">
        <x:v>剪纸软凳</x:v>
      </x:c>
      <x:c r="D127" s="9" t="str">
        <x:v>R</x:v>
      </x:c>
      <x:c r="E127" s="9" t="str">
        <x:v>M3</x:v>
      </x:c>
      <x:c r="F127" s="9" t="str">
        <x:v>落地</x:v>
      </x:c>
      <x:c r="G127" s="9" t="str">
        <x:v>星晶</x:v>
      </x:c>
      <x:c r="H127" s="9" t="str">
        <x:v>星晶</x:v>
      </x:c>
      <x:c r="I127" s="9" t="n">
        <x:v>120</x:v>
      </x:c>
      <x:c r="J127" s="9" t="str">
        <x:v>REG_19</x:v>
      </x:c>
      <x:c r="K127" s="9" t="str">
        <x:v>本主题上架后永久直购；赠晶也可付</x:v>
      </x:c>
      <x:c r="L127" s="9" t="str">
        <x:v>先保留2件；第三件起R30/SR120/SSR300金币</x:v>
      </x:c>
      <x:c r="M127" s="9" t="str">
        <x:v>剪纸橙、银蕨、湖蓝；剪纸软凳独立轮廓；SSR只加环境细节</x:v>
      </x:c>
      <x:c r="N127" s="9" t="str">
        <x:v>待制作</x:v>
      </x:c>
    </x:row>
    <x:row r="128" ht="48" customHeight="1">
      <x:c r="A128" s="10" t="str">
        <x:v>F_16_2</x:v>
      </x:c>
      <x:c r="B128" s="10" t="str">
        <x:v>SET_16</x:v>
      </x:c>
      <x:c r="C128" s="10" t="str">
        <x:v>银蕨立灯</x:v>
      </x:c>
      <x:c r="D128" s="10" t="str">
        <x:v>R</x:v>
      </x:c>
      <x:c r="E128" s="10" t="str">
        <x:v>M3</x:v>
      </x:c>
      <x:c r="F128" s="10" t="str">
        <x:v>落地</x:v>
      </x:c>
      <x:c r="G128" s="10" t="str">
        <x:v>星晶</x:v>
      </x:c>
      <x:c r="H128" s="10" t="str">
        <x:v>星晶</x:v>
      </x:c>
      <x:c r="I128" s="10" t="n">
        <x:v>180</x:v>
      </x:c>
      <x:c r="J128" s="10" t="str">
        <x:v>REG_19</x:v>
      </x:c>
      <x:c r="K128" s="10" t="str">
        <x:v>本主题上架后永久直购；赠晶也可付</x:v>
      </x:c>
      <x:c r="L128" s="10" t="str">
        <x:v>先保留2件；第三件起R30/SR120/SSR300金币</x:v>
      </x:c>
      <x:c r="M128" s="10" t="str">
        <x:v>剪纸橙、银蕨、湖蓝；银蕨立灯独立轮廓；SSR只加环境细节</x:v>
      </x:c>
      <x:c r="N128" s="10" t="str">
        <x:v>待制作</x:v>
      </x:c>
    </x:row>
    <x:row r="129" ht="48" customHeight="1">
      <x:c r="A129" s="9" t="str">
        <x:v>F_16_3</x:v>
      </x:c>
      <x:c r="B129" s="9" t="str">
        <x:v>SET_16</x:v>
      </x:c>
      <x:c r="C129" s="9" t="str">
        <x:v>花市方几</x:v>
      </x:c>
      <x:c r="D129" s="9" t="str">
        <x:v>R</x:v>
      </x:c>
      <x:c r="E129" s="9" t="str">
        <x:v>M3</x:v>
      </x:c>
      <x:c r="F129" s="9" t="str">
        <x:v>落地</x:v>
      </x:c>
      <x:c r="G129" s="9" t="str">
        <x:v>星晶</x:v>
      </x:c>
      <x:c r="H129" s="9" t="str">
        <x:v>星晶</x:v>
      </x:c>
      <x:c r="I129" s="9" t="n">
        <x:v>240</x:v>
      </x:c>
      <x:c r="J129" s="9" t="str">
        <x:v>REG_19</x:v>
      </x:c>
      <x:c r="K129" s="9" t="str">
        <x:v>本主题上架后永久直购；赠晶也可付</x:v>
      </x:c>
      <x:c r="L129" s="9" t="str">
        <x:v>先保留2件；第三件起R30/SR120/SSR300金币</x:v>
      </x:c>
      <x:c r="M129" s="9" t="str">
        <x:v>剪纸橙、银蕨、湖蓝；花市方几独立轮廓；SSR只加环境细节</x:v>
      </x:c>
      <x:c r="N129" s="9" t="str">
        <x:v>待制作</x:v>
      </x:c>
    </x:row>
    <x:row r="130" ht="48" customHeight="1">
      <x:c r="A130" s="10" t="str">
        <x:v>F_16_4</x:v>
      </x:c>
      <x:c r="B130" s="10" t="str">
        <x:v>SET_16</x:v>
      </x:c>
      <x:c r="C130" s="10" t="str">
        <x:v>湖光双人椅</x:v>
      </x:c>
      <x:c r="D130" s="10" t="str">
        <x:v>SR</x:v>
      </x:c>
      <x:c r="E130" s="10" t="str">
        <x:v>M3</x:v>
      </x:c>
      <x:c r="F130" s="10" t="str">
        <x:v>落地</x:v>
      </x:c>
      <x:c r="G130" s="10" t="str">
        <x:v>星晶</x:v>
      </x:c>
      <x:c r="H130" s="10" t="str">
        <x:v>星晶</x:v>
      </x:c>
      <x:c r="I130" s="10" t="n">
        <x:v>360</x:v>
      </x:c>
      <x:c r="J130" s="10" t="str">
        <x:v>REG_19</x:v>
      </x:c>
      <x:c r="K130" s="10" t="str">
        <x:v>本主题上架后永久直购；赠晶也可付</x:v>
      </x:c>
      <x:c r="L130" s="10" t="str">
        <x:v>先保留2件；第三件起R30/SR120/SSR300金币</x:v>
      </x:c>
      <x:c r="M130" s="10" t="str">
        <x:v>剪纸橙、银蕨、湖蓝；湖光双人椅独立轮廓；SSR只加环境细节</x:v>
      </x:c>
      <x:c r="N130" s="10" t="str">
        <x:v>待制作</x:v>
      </x:c>
    </x:row>
    <x:row r="131" ht="48" customHeight="1">
      <x:c r="A131" s="9" t="str">
        <x:v>F_16_5</x:v>
      </x:c>
      <x:c r="B131" s="9" t="str">
        <x:v>SET_16</x:v>
      </x:c>
      <x:c r="C131" s="9" t="str">
        <x:v>花市展示架</x:v>
      </x:c>
      <x:c r="D131" s="9" t="str">
        <x:v>SR</x:v>
      </x:c>
      <x:c r="E131" s="9" t="str">
        <x:v>M3</x:v>
      </x:c>
      <x:c r="F131" s="9" t="str">
        <x:v>落地</x:v>
      </x:c>
      <x:c r="G131" s="9" t="str">
        <x:v>星晶</x:v>
      </x:c>
      <x:c r="H131" s="9" t="str">
        <x:v>星晶</x:v>
      </x:c>
      <x:c r="I131" s="9" t="n">
        <x:v>480</x:v>
      </x:c>
      <x:c r="J131" s="9" t="str">
        <x:v>REG_19</x:v>
      </x:c>
      <x:c r="K131" s="9" t="str">
        <x:v>本主题上架后永久直购；赠晶也可付</x:v>
      </x:c>
      <x:c r="L131" s="9" t="str">
        <x:v>先保留2件；第三件起R30/SR120/SSR300金币</x:v>
      </x:c>
      <x:c r="M131" s="9" t="str">
        <x:v>剪纸橙、银蕨、湖蓝；花市展示架独立轮廓；SSR只加环境细节</x:v>
      </x:c>
      <x:c r="N131" s="9" t="str">
        <x:v>待制作</x:v>
      </x:c>
    </x:row>
    <x:row r="132" ht="48" customHeight="1">
      <x:c r="A132" s="10" t="str">
        <x:v>F_16_6</x:v>
      </x:c>
      <x:c r="B132" s="10" t="str">
        <x:v>SET_16</x:v>
      </x:c>
      <x:c r="C132" s="10" t="str">
        <x:v>剪纸壁饰</x:v>
      </x:c>
      <x:c r="D132" s="10" t="str">
        <x:v>SR</x:v>
      </x:c>
      <x:c r="E132" s="10" t="str">
        <x:v>M3</x:v>
      </x:c>
      <x:c r="F132" s="10" t="str">
        <x:v>墙饰</x:v>
      </x:c>
      <x:c r="G132" s="10" t="str">
        <x:v>星晶</x:v>
      </x:c>
      <x:c r="H132" s="10" t="str">
        <x:v>星晶</x:v>
      </x:c>
      <x:c r="I132" s="10" t="n">
        <x:v>480</x:v>
      </x:c>
      <x:c r="J132" s="10" t="str">
        <x:v>REG_19</x:v>
      </x:c>
      <x:c r="K132" s="10" t="str">
        <x:v>本主题上架后永久直购；赠晶也可付</x:v>
      </x:c>
      <x:c r="L132" s="10" t="str">
        <x:v>先保留2件；第三件起R30/SR120/SSR300金币</x:v>
      </x:c>
      <x:c r="M132" s="10" t="str">
        <x:v>剪纸橙、银蕨、湖蓝；剪纸壁饰独立轮廓；SSR只加环境细节</x:v>
      </x:c>
      <x:c r="N132" s="10" t="str">
        <x:v>待制作</x:v>
      </x:c>
    </x:row>
    <x:row r="133" ht="48" customHeight="1">
      <x:c r="A133" s="9" t="str">
        <x:v>F_16_7</x:v>
      </x:c>
      <x:c r="B133" s="9" t="str">
        <x:v>SET_16</x:v>
      </x:c>
      <x:c r="C133" s="9" t="str">
        <x:v>彩花地毯</x:v>
      </x:c>
      <x:c r="D133" s="9" t="str">
        <x:v>SSR</x:v>
      </x:c>
      <x:c r="E133" s="9" t="str">
        <x:v>M3</x:v>
      </x:c>
      <x:c r="F133" s="9" t="str">
        <x:v>地毯</x:v>
      </x:c>
      <x:c r="G133" s="9" t="str">
        <x:v>星晶</x:v>
      </x:c>
      <x:c r="H133" s="9" t="str">
        <x:v>星晶</x:v>
      </x:c>
      <x:c r="I133" s="9" t="n">
        <x:v>680</x:v>
      </x:c>
      <x:c r="J133" s="9" t="str">
        <x:v>REG_19</x:v>
      </x:c>
      <x:c r="K133" s="9" t="str">
        <x:v>本主题上架后永久直购；赠晶也可付</x:v>
      </x:c>
      <x:c r="L133" s="9" t="str">
        <x:v>先保留2件；第三件起R30/SR120/SSR300金币</x:v>
      </x:c>
      <x:c r="M133" s="9" t="str">
        <x:v>剪纸橙、银蕨、湖蓝；彩花地毯独立轮廓；SSR只加环境细节</x:v>
      </x:c>
      <x:c r="N133" s="9" t="str">
        <x:v>待制作</x:v>
      </x:c>
    </x:row>
    <x:row r="134" ht="48" customHeight="1">
      <x:c r="A134" s="10" t="str">
        <x:v>F_16_8</x:v>
      </x:c>
      <x:c r="B134" s="10" t="str">
        <x:v>SET_16</x:v>
      </x:c>
      <x:c r="C134" s="10" t="str">
        <x:v>湖光花船</x:v>
      </x:c>
      <x:c r="D134" s="10" t="str">
        <x:v>SSR</x:v>
      </x:c>
      <x:c r="E134" s="10" t="str">
        <x:v>M3</x:v>
      </x:c>
      <x:c r="F134" s="10" t="str">
        <x:v>落地</x:v>
      </x:c>
      <x:c r="G134" s="10" t="str">
        <x:v>星晶</x:v>
      </x:c>
      <x:c r="H134" s="10" t="str">
        <x:v>星晶</x:v>
      </x:c>
      <x:c r="I134" s="10" t="n">
        <x:v>980</x:v>
      </x:c>
      <x:c r="J134" s="10" t="str">
        <x:v>REG_19</x:v>
      </x:c>
      <x:c r="K134" s="10" t="str">
        <x:v>本主题上架后永久直购；赠晶也可付</x:v>
      </x:c>
      <x:c r="L134" s="10" t="str">
        <x:v>先保留2件；第三件起R30/SR120/SSR300金币</x:v>
      </x:c>
      <x:c r="M134" s="10" t="str">
        <x:v>剪纸橙、银蕨、湖蓝；湖光花船独立轮廓；SSR只加环境细节</x:v>
      </x:c>
      <x:c r="N134" s="10" t="str">
        <x:v>待制作</x:v>
      </x:c>
    </x:row>
    <x:row r="135" ht="48" customHeight="1">
      <x:c r="A135" s="9" t="str">
        <x:v>F_17_1</x:v>
      </x:c>
      <x:c r="B135" s="9" t="str">
        <x:v>SET_17</x:v>
      </x:c>
      <x:c r="C135" s="9" t="str">
        <x:v>织锦坐墩</x:v>
      </x:c>
      <x:c r="D135" s="9" t="str">
        <x:v>R</x:v>
      </x:c>
      <x:c r="E135" s="9" t="str">
        <x:v>M4</x:v>
      </x:c>
      <x:c r="F135" s="9" t="str">
        <x:v>落地</x:v>
      </x:c>
      <x:c r="G135" s="9" t="str">
        <x:v>金币</x:v>
      </x:c>
      <x:c r="H135" s="9" t="str">
        <x:v>花园币</x:v>
      </x:c>
      <x:c r="I135" s="9" t="n">
        <x:v>180</x:v>
      </x:c>
      <x:c r="J135" s="9" t="str">
        <x:v>REG_21</x:v>
      </x:c>
      <x:c r="K135" s="9" t="str">
        <x:v>地区首访后金币货架永久开放</x:v>
      </x:c>
      <x:c r="L135" s="9" t="str">
        <x:v>先保留2件；第三件起R30/SR120/SSR300金币</x:v>
      </x:c>
      <x:c r="M135" s="9" t="str">
        <x:v>彩灯、织毯、星纹；织锦坐墩独立轮廓；SSR只加环境细节</x:v>
      </x:c>
      <x:c r="N135" s="9" t="str">
        <x:v>待制作</x:v>
      </x:c>
    </x:row>
    <x:row r="136" ht="48" customHeight="1">
      <x:c r="A136" s="10" t="str">
        <x:v>F_17_2</x:v>
      </x:c>
      <x:c r="B136" s="10" t="str">
        <x:v>SET_17</x:v>
      </x:c>
      <x:c r="C136" s="10" t="str">
        <x:v>星毯立灯</x:v>
      </x:c>
      <x:c r="D136" s="10" t="str">
        <x:v>R</x:v>
      </x:c>
      <x:c r="E136" s="10" t="str">
        <x:v>M4</x:v>
      </x:c>
      <x:c r="F136" s="10" t="str">
        <x:v>落地</x:v>
      </x:c>
      <x:c r="G136" s="10" t="str">
        <x:v>金币</x:v>
      </x:c>
      <x:c r="H136" s="10" t="str">
        <x:v>花园币</x:v>
      </x:c>
      <x:c r="I136" s="10" t="n">
        <x:v>360</x:v>
      </x:c>
      <x:c r="J136" s="10" t="str">
        <x:v>REG_21</x:v>
      </x:c>
      <x:c r="K136" s="10" t="str">
        <x:v>地区首访后金币货架永久开放</x:v>
      </x:c>
      <x:c r="L136" s="10" t="str">
        <x:v>先保留2件；第三件起R30/SR120/SSR300金币</x:v>
      </x:c>
      <x:c r="M136" s="10" t="str">
        <x:v>彩灯、织毯、星纹；星毯立灯独立轮廓；SSR只加环境细节</x:v>
      </x:c>
      <x:c r="N136" s="10" t="str">
        <x:v>待制作</x:v>
      </x:c>
    </x:row>
    <x:row r="137" ht="48" customHeight="1">
      <x:c r="A137" s="9" t="str">
        <x:v>F_17_3</x:v>
      </x:c>
      <x:c r="B137" s="9" t="str">
        <x:v>SET_17</x:v>
      </x:c>
      <x:c r="C137" s="9" t="str">
        <x:v>镶纹茶几</x:v>
      </x:c>
      <x:c r="D137" s="9" t="str">
        <x:v>R</x:v>
      </x:c>
      <x:c r="E137" s="9" t="str">
        <x:v>M4</x:v>
      </x:c>
      <x:c r="F137" s="9" t="str">
        <x:v>落地</x:v>
      </x:c>
      <x:c r="G137" s="9" t="str">
        <x:v>金币</x:v>
      </x:c>
      <x:c r="H137" s="9" t="str">
        <x:v>花园币</x:v>
      </x:c>
      <x:c r="I137" s="9" t="n">
        <x:v>600</x:v>
      </x:c>
      <x:c r="J137" s="9" t="str">
        <x:v>REG_21</x:v>
      </x:c>
      <x:c r="K137" s="9" t="str">
        <x:v>地区首访后金币货架永久开放</x:v>
      </x:c>
      <x:c r="L137" s="9" t="str">
        <x:v>先保留2件；第三件起R30/SR120/SSR300金币</x:v>
      </x:c>
      <x:c r="M137" s="9" t="str">
        <x:v>彩灯、织毯、星纹；镶纹茶几独立轮廓；SSR只加环境细节</x:v>
      </x:c>
      <x:c r="N137" s="9" t="str">
        <x:v>待制作</x:v>
      </x:c>
    </x:row>
    <x:row r="138" ht="48" customHeight="1">
      <x:c r="A138" s="10" t="str">
        <x:v>F_17_4</x:v>
      </x:c>
      <x:c r="B138" s="10" t="str">
        <x:v>SET_17</x:v>
      </x:c>
      <x:c r="C138" s="10" t="str">
        <x:v>山城长榻</x:v>
      </x:c>
      <x:c r="D138" s="10" t="str">
        <x:v>SR</x:v>
      </x:c>
      <x:c r="E138" s="10" t="str">
        <x:v>M4</x:v>
      </x:c>
      <x:c r="F138" s="10" t="str">
        <x:v>落地</x:v>
      </x:c>
      <x:c r="G138" s="10" t="str">
        <x:v>见闻</x:v>
      </x:c>
      <x:c r="H138" s="10" t="str">
        <x:v>地区见闻</x:v>
      </x:c>
      <x:c r="I138" s="10" t="n">
        <x:v>0</x:v>
      </x:c>
      <x:c r="J138" s="10" t="str">
        <x:v>REG_21</x:v>
      </x:c>
      <x:c r="K138" s="10" t="str">
        <x:v>本地区6次普通旅行</x:v>
      </x:c>
      <x:c r="L138" s="10" t="str">
        <x:v>先保留2件；第三件起R30/SR120/SSR300金币</x:v>
      </x:c>
      <x:c r="M138" s="10" t="str">
        <x:v>彩灯、织毯、星纹；山城长榻独立轮廓；SSR只加环境细节</x:v>
      </x:c>
      <x:c r="N138" s="10" t="str">
        <x:v>待制作</x:v>
      </x:c>
    </x:row>
    <x:row r="139" ht="48" customHeight="1">
      <x:c r="A139" s="9" t="str">
        <x:v>F_17_5</x:v>
      </x:c>
      <x:c r="B139" s="9" t="str">
        <x:v>SET_17</x:v>
      </x:c>
      <x:c r="C139" s="9" t="str">
        <x:v>花砖陈列柜</x:v>
      </x:c>
      <x:c r="D139" s="9" t="str">
        <x:v>SR</x:v>
      </x:c>
      <x:c r="E139" s="9" t="str">
        <x:v>M4</x:v>
      </x:c>
      <x:c r="F139" s="9" t="str">
        <x:v>落地</x:v>
      </x:c>
      <x:c r="G139" s="9" t="str">
        <x:v>见闻</x:v>
      </x:c>
      <x:c r="H139" s="9" t="str">
        <x:v>地区见闻</x:v>
      </x:c>
      <x:c r="I139" s="9" t="n">
        <x:v>0</x:v>
      </x:c>
      <x:c r="J139" s="9" t="str">
        <x:v>REG_21</x:v>
      </x:c>
      <x:c r="K139" s="9" t="str">
        <x:v>本地区6次普通旅行</x:v>
      </x:c>
      <x:c r="L139" s="9" t="str">
        <x:v>先保留2件；第三件起R30/SR120/SSR300金币</x:v>
      </x:c>
      <x:c r="M139" s="9" t="str">
        <x:v>彩灯、织毯、星纹；花砖陈列柜独立轮廓；SSR只加环境细节</x:v>
      </x:c>
      <x:c r="N139" s="9" t="str">
        <x:v>待制作</x:v>
      </x:c>
    </x:row>
    <x:row r="140" ht="48" customHeight="1">
      <x:c r="A140" s="10" t="str">
        <x:v>F_17_6</x:v>
      </x:c>
      <x:c r="B140" s="10" t="str">
        <x:v>SET_17</x:v>
      </x:c>
      <x:c r="C140" s="10" t="str">
        <x:v>星纹壁饰</x:v>
      </x:c>
      <x:c r="D140" s="10" t="str">
        <x:v>SR</x:v>
      </x:c>
      <x:c r="E140" s="10" t="str">
        <x:v>M4</x:v>
      </x:c>
      <x:c r="F140" s="10" t="str">
        <x:v>墙饰</x:v>
      </x:c>
      <x:c r="G140" s="10" t="str">
        <x:v>见闻</x:v>
      </x:c>
      <x:c r="H140" s="10" t="str">
        <x:v>地区见闻</x:v>
      </x:c>
      <x:c r="I140" s="10" t="n">
        <x:v>0</x:v>
      </x:c>
      <x:c r="J140" s="10" t="str">
        <x:v>REG_21</x:v>
      </x:c>
      <x:c r="K140" s="10" t="str">
        <x:v>本地区6次普通旅行</x:v>
      </x:c>
      <x:c r="L140" s="10" t="str">
        <x:v>先保留2件；第三件起R30/SR120/SSR300金币</x:v>
      </x:c>
      <x:c r="M140" s="10" t="str">
        <x:v>彩灯、织毯、星纹；星纹壁饰独立轮廓；SSR只加环境细节</x:v>
      </x:c>
      <x:c r="N140" s="10" t="str">
        <x:v>待制作</x:v>
      </x:c>
    </x:row>
    <x:row r="141" ht="48" customHeight="1">
      <x:c r="A141" s="9" t="str">
        <x:v>F_17_7</x:v>
      </x:c>
      <x:c r="B141" s="9" t="str">
        <x:v>SET_17</x:v>
      </x:c>
      <x:c r="C141" s="9" t="str">
        <x:v>山城织毯</x:v>
      </x:c>
      <x:c r="D141" s="9" t="str">
        <x:v>SSR</x:v>
      </x:c>
      <x:c r="E141" s="9" t="str">
        <x:v>M4</x:v>
      </x:c>
      <x:c r="F141" s="9" t="str">
        <x:v>地毯</x:v>
      </x:c>
      <x:c r="G141" s="9" t="str">
        <x:v>见闻</x:v>
      </x:c>
      <x:c r="H141" s="9" t="str">
        <x:v>地区见闻</x:v>
      </x:c>
      <x:c r="I141" s="9" t="n">
        <x:v>0</x:v>
      </x:c>
      <x:c r="J141" s="9" t="str">
        <x:v>REG_21</x:v>
      </x:c>
      <x:c r="K141" s="9" t="str">
        <x:v>本地区12次普通旅行</x:v>
      </x:c>
      <x:c r="L141" s="9" t="str">
        <x:v>先保留2件；第三件起R30/SR120/SSR300金币</x:v>
      </x:c>
      <x:c r="M141" s="9" t="str">
        <x:v>彩灯、织毯、星纹；山城织毯独立轮廓；SSR只加环境细节</x:v>
      </x:c>
      <x:c r="N141" s="9" t="str">
        <x:v>待制作</x:v>
      </x:c>
    </x:row>
    <x:row r="142" ht="48" customHeight="1">
      <x:c r="A142" s="10" t="str">
        <x:v>F_17_8</x:v>
      </x:c>
      <x:c r="B142" s="10" t="str">
        <x:v>SET_17</x:v>
      </x:c>
      <x:c r="C142" s="10" t="str">
        <x:v>梯田微景</x:v>
      </x:c>
      <x:c r="D142" s="10" t="str">
        <x:v>SSR</x:v>
      </x:c>
      <x:c r="E142" s="10" t="str">
        <x:v>M4</x:v>
      </x:c>
      <x:c r="F142" s="10" t="str">
        <x:v>落地</x:v>
      </x:c>
      <x:c r="G142" s="10" t="str">
        <x:v>见闻</x:v>
      </x:c>
      <x:c r="H142" s="10" t="str">
        <x:v>地区见闻</x:v>
      </x:c>
      <x:c r="I142" s="10" t="n">
        <x:v>0</x:v>
      </x:c>
      <x:c r="J142" s="10" t="str">
        <x:v>REG_21</x:v>
      </x:c>
      <x:c r="K142" s="10" t="str">
        <x:v>本地区12次普通旅行</x:v>
      </x:c>
      <x:c r="L142" s="10" t="str">
        <x:v>先保留2件；第三件起R30/SR120/SSR300金币</x:v>
      </x:c>
      <x:c r="M142" s="10" t="str">
        <x:v>彩灯、织毯、星纹；梯田微景独立轮廓；SSR只加环境细节</x:v>
      </x:c>
      <x:c r="N142" s="10" t="str">
        <x:v>待制作</x:v>
      </x:c>
    </x:row>
    <x:row r="143" ht="48" customHeight="1">
      <x:c r="A143" s="9" t="str">
        <x:v>F_18_1</x:v>
      </x:c>
      <x:c r="B143" s="9" t="str">
        <x:v>SET_18</x:v>
      </x:c>
      <x:c r="C143" s="9" t="str">
        <x:v>枫叶软凳</x:v>
      </x:c>
      <x:c r="D143" s="9" t="str">
        <x:v>R</x:v>
      </x:c>
      <x:c r="E143" s="9" t="str">
        <x:v>M4</x:v>
      </x:c>
      <x:c r="F143" s="9" t="str">
        <x:v>落地</x:v>
      </x:c>
      <x:c r="G143" s="9" t="str">
        <x:v>星晶</x:v>
      </x:c>
      <x:c r="H143" s="9" t="str">
        <x:v>星晶</x:v>
      </x:c>
      <x:c r="I143" s="9" t="n">
        <x:v>120</x:v>
      </x:c>
      <x:c r="J143" s="9" t="str">
        <x:v>REG_23</x:v>
      </x:c>
      <x:c r="K143" s="9" t="str">
        <x:v>本主题上架后永久直购；赠晶也可付</x:v>
      </x:c>
      <x:c r="L143" s="9" t="str">
        <x:v>先保留2件；第三件起R30/SR120/SSR300金币</x:v>
      </x:c>
      <x:c r="M143" s="9" t="str">
        <x:v>枫红、苔绿、萤光；枫叶软凳独立轮廓；SSR只加环境细节</x:v>
      </x:c>
      <x:c r="N143" s="9" t="str">
        <x:v>待制作</x:v>
      </x:c>
    </x:row>
    <x:row r="144" ht="48" customHeight="1">
      <x:c r="A144" s="10" t="str">
        <x:v>F_18_2</x:v>
      </x:c>
      <x:c r="B144" s="10" t="str">
        <x:v>SET_18</x:v>
      </x:c>
      <x:c r="C144" s="10" t="str">
        <x:v>萤火立灯</x:v>
      </x:c>
      <x:c r="D144" s="10" t="str">
        <x:v>R</x:v>
      </x:c>
      <x:c r="E144" s="10" t="str">
        <x:v>M4</x:v>
      </x:c>
      <x:c r="F144" s="10" t="str">
        <x:v>落地</x:v>
      </x:c>
      <x:c r="G144" s="10" t="str">
        <x:v>星晶</x:v>
      </x:c>
      <x:c r="H144" s="10" t="str">
        <x:v>星晶</x:v>
      </x:c>
      <x:c r="I144" s="10" t="n">
        <x:v>180</x:v>
      </x:c>
      <x:c r="J144" s="10" t="str">
        <x:v>REG_23</x:v>
      </x:c>
      <x:c r="K144" s="10" t="str">
        <x:v>本主题上架后永久直购；赠晶也可付</x:v>
      </x:c>
      <x:c r="L144" s="10" t="str">
        <x:v>先保留2件；第三件起R30/SR120/SSR300金币</x:v>
      </x:c>
      <x:c r="M144" s="10" t="str">
        <x:v>枫红、苔绿、萤光；萤火立灯独立轮廓；SSR只加环境细节</x:v>
      </x:c>
      <x:c r="N144" s="10" t="str">
        <x:v>待制作</x:v>
      </x:c>
    </x:row>
    <x:row r="145" ht="48" customHeight="1">
      <x:c r="A145" s="9" t="str">
        <x:v>F_18_3</x:v>
      </x:c>
      <x:c r="B145" s="9" t="str">
        <x:v>SET_18</x:v>
      </x:c>
      <x:c r="C145" s="9" t="str">
        <x:v>树根茶几</x:v>
      </x:c>
      <x:c r="D145" s="9" t="str">
        <x:v>R</x:v>
      </x:c>
      <x:c r="E145" s="9" t="str">
        <x:v>M4</x:v>
      </x:c>
      <x:c r="F145" s="9" t="str">
        <x:v>落地</x:v>
      </x:c>
      <x:c r="G145" s="9" t="str">
        <x:v>星晶</x:v>
      </x:c>
      <x:c r="H145" s="9" t="str">
        <x:v>星晶</x:v>
      </x:c>
      <x:c r="I145" s="9" t="n">
        <x:v>240</x:v>
      </x:c>
      <x:c r="J145" s="9" t="str">
        <x:v>REG_23</x:v>
      </x:c>
      <x:c r="K145" s="9" t="str">
        <x:v>本主题上架后永久直购；赠晶也可付</x:v>
      </x:c>
      <x:c r="L145" s="9" t="str">
        <x:v>先保留2件；第三件起R30/SR120/SSR300金币</x:v>
      </x:c>
      <x:c r="M145" s="9" t="str">
        <x:v>枫红、苔绿、萤光；树根茶几独立轮廓；SSR只加环境细节</x:v>
      </x:c>
      <x:c r="N145" s="9" t="str">
        <x:v>待制作</x:v>
      </x:c>
    </x:row>
    <x:row r="146" ht="48" customHeight="1">
      <x:c r="A146" s="10" t="str">
        <x:v>F_18_4</x:v>
      </x:c>
      <x:c r="B146" s="10" t="str">
        <x:v>SET_18</x:v>
      </x:c>
      <x:c r="C146" s="10" t="str">
        <x:v>枫林长椅</x:v>
      </x:c>
      <x:c r="D146" s="10" t="str">
        <x:v>SR</x:v>
      </x:c>
      <x:c r="E146" s="10" t="str">
        <x:v>M4</x:v>
      </x:c>
      <x:c r="F146" s="10" t="str">
        <x:v>落地</x:v>
      </x:c>
      <x:c r="G146" s="10" t="str">
        <x:v>星晶</x:v>
      </x:c>
      <x:c r="H146" s="10" t="str">
        <x:v>星晶</x:v>
      </x:c>
      <x:c r="I146" s="10" t="n">
        <x:v>360</x:v>
      </x:c>
      <x:c r="J146" s="10" t="str">
        <x:v>REG_23</x:v>
      </x:c>
      <x:c r="K146" s="10" t="str">
        <x:v>本主题上架后永久直购；赠晶也可付</x:v>
      </x:c>
      <x:c r="L146" s="10" t="str">
        <x:v>先保留2件；第三件起R30/SR120/SSR300金币</x:v>
      </x:c>
      <x:c r="M146" s="10" t="str">
        <x:v>枫红、苔绿、萤光；枫林长椅独立轮廓；SSR只加环境细节</x:v>
      </x:c>
      <x:c r="N146" s="10" t="str">
        <x:v>待制作</x:v>
      </x:c>
    </x:row>
    <x:row r="147" ht="48" customHeight="1">
      <x:c r="A147" s="9" t="str">
        <x:v>F_18_5</x:v>
      </x:c>
      <x:c r="B147" s="9" t="str">
        <x:v>SET_18</x:v>
      </x:c>
      <x:c r="C147" s="9" t="str">
        <x:v>苔藓收藏柜</x:v>
      </x:c>
      <x:c r="D147" s="9" t="str">
        <x:v>SR</x:v>
      </x:c>
      <x:c r="E147" s="9" t="str">
        <x:v>M4</x:v>
      </x:c>
      <x:c r="F147" s="9" t="str">
        <x:v>落地</x:v>
      </x:c>
      <x:c r="G147" s="9" t="str">
        <x:v>星晶</x:v>
      </x:c>
      <x:c r="H147" s="9" t="str">
        <x:v>星晶</x:v>
      </x:c>
      <x:c r="I147" s="9" t="n">
        <x:v>480</x:v>
      </x:c>
      <x:c r="J147" s="9" t="str">
        <x:v>REG_23</x:v>
      </x:c>
      <x:c r="K147" s="9" t="str">
        <x:v>本主题上架后永久直购；赠晶也可付</x:v>
      </x:c>
      <x:c r="L147" s="9" t="str">
        <x:v>先保留2件；第三件起R30/SR120/SSR300金币</x:v>
      </x:c>
      <x:c r="M147" s="9" t="str">
        <x:v>枫红、苔绿、萤光；苔藓收藏柜独立轮廓；SSR只加环境细节</x:v>
      </x:c>
      <x:c r="N147" s="9" t="str">
        <x:v>待制作</x:v>
      </x:c>
    </x:row>
    <x:row r="148" ht="48" customHeight="1">
      <x:c r="A148" s="10" t="str">
        <x:v>F_18_6</x:v>
      </x:c>
      <x:c r="B148" s="10" t="str">
        <x:v>SET_18</x:v>
      </x:c>
      <x:c r="C148" s="10" t="str">
        <x:v>枫叶壁饰</x:v>
      </x:c>
      <x:c r="D148" s="10" t="str">
        <x:v>SR</x:v>
      </x:c>
      <x:c r="E148" s="10" t="str">
        <x:v>M4</x:v>
      </x:c>
      <x:c r="F148" s="10" t="str">
        <x:v>墙饰</x:v>
      </x:c>
      <x:c r="G148" s="10" t="str">
        <x:v>星晶</x:v>
      </x:c>
      <x:c r="H148" s="10" t="str">
        <x:v>星晶</x:v>
      </x:c>
      <x:c r="I148" s="10" t="n">
        <x:v>480</x:v>
      </x:c>
      <x:c r="J148" s="10" t="str">
        <x:v>REG_23</x:v>
      </x:c>
      <x:c r="K148" s="10" t="str">
        <x:v>本主题上架后永久直购；赠晶也可付</x:v>
      </x:c>
      <x:c r="L148" s="10" t="str">
        <x:v>先保留2件；第三件起R30/SR120/SSR300金币</x:v>
      </x:c>
      <x:c r="M148" s="10" t="str">
        <x:v>枫红、苔绿、萤光；枫叶壁饰独立轮廓；SSR只加环境细节</x:v>
      </x:c>
      <x:c r="N148" s="10" t="str">
        <x:v>待制作</x:v>
      </x:c>
    </x:row>
    <x:row r="149" ht="48" customHeight="1">
      <x:c r="A149" s="9" t="str">
        <x:v>F_18_7</x:v>
      </x:c>
      <x:c r="B149" s="9" t="str">
        <x:v>SET_18</x:v>
      </x:c>
      <x:c r="C149" s="9" t="str">
        <x:v>林地厚毯</x:v>
      </x:c>
      <x:c r="D149" s="9" t="str">
        <x:v>SSR</x:v>
      </x:c>
      <x:c r="E149" s="9" t="str">
        <x:v>M4</x:v>
      </x:c>
      <x:c r="F149" s="9" t="str">
        <x:v>地毯</x:v>
      </x:c>
      <x:c r="G149" s="9" t="str">
        <x:v>星晶</x:v>
      </x:c>
      <x:c r="H149" s="9" t="str">
        <x:v>星晶</x:v>
      </x:c>
      <x:c r="I149" s="9" t="n">
        <x:v>680</x:v>
      </x:c>
      <x:c r="J149" s="9" t="str">
        <x:v>REG_23</x:v>
      </x:c>
      <x:c r="K149" s="9" t="str">
        <x:v>本主题上架后永久直购；赠晶也可付</x:v>
      </x:c>
      <x:c r="L149" s="9" t="str">
        <x:v>先保留2件；第三件起R30/SR120/SSR300金币</x:v>
      </x:c>
      <x:c r="M149" s="9" t="str">
        <x:v>枫红、苔绿、萤光；林地厚毯独立轮廓；SSR只加环境细节</x:v>
      </x:c>
      <x:c r="N149" s="9" t="str">
        <x:v>待制作</x:v>
      </x:c>
    </x:row>
    <x:row r="150" ht="48" customHeight="1">
      <x:c r="A150" s="10" t="str">
        <x:v>F_18_8</x:v>
      </x:c>
      <x:c r="B150" s="10" t="str">
        <x:v>SET_18</x:v>
      </x:c>
      <x:c r="C150" s="10" t="str">
        <x:v>萤光树屋</x:v>
      </x:c>
      <x:c r="D150" s="10" t="str">
        <x:v>SSR</x:v>
      </x:c>
      <x:c r="E150" s="10" t="str">
        <x:v>M4</x:v>
      </x:c>
      <x:c r="F150" s="10" t="str">
        <x:v>落地</x:v>
      </x:c>
      <x:c r="G150" s="10" t="str">
        <x:v>星晶</x:v>
      </x:c>
      <x:c r="H150" s="10" t="str">
        <x:v>星晶</x:v>
      </x:c>
      <x:c r="I150" s="10" t="n">
        <x:v>980</x:v>
      </x:c>
      <x:c r="J150" s="10" t="str">
        <x:v>REG_23</x:v>
      </x:c>
      <x:c r="K150" s="10" t="str">
        <x:v>本主题上架后永久直购；赠晶也可付</x:v>
      </x:c>
      <x:c r="L150" s="10" t="str">
        <x:v>先保留2件；第三件起R30/SR120/SSR300金币</x:v>
      </x:c>
      <x:c r="M150" s="10" t="str">
        <x:v>枫红、苔绿、萤光；萤光树屋独立轮廓；SSR只加环境细节</x:v>
      </x:c>
      <x:c r="N150" s="10" t="str">
        <x:v>待制作</x:v>
      </x:c>
    </x:row>
  </x:sheetData>
  <x:pageMargins left="0.7" right="0.7" top="0.75" bottom="0.75" header="0.3" footer="0.3"/>
  <x:tableParts count="1">
    <x:tablePart xmlns:r="http://schemas.openxmlformats.org/officeDocument/2006/relationships" r:id="Rb42192d0527f4ec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7" hidden="0" customWidth="1"/>
    <x:col min="4" max="4" width="17" hidden="0" customWidth="1"/>
    <x:col min="5" max="5" width="12" hidden="0" customWidth="1"/>
    <x:col min="6" max="6" width="12" hidden="0" customWidth="1"/>
    <x:col min="7" max="7" width="15" hidden="0" customWidth="1"/>
    <x:col min="8" max="8" width="17" hidden="0" customWidth="1"/>
    <x:col min="9" max="9" width="16" hidden="0" customWidth="1"/>
    <x:col min="10" max="10" width="17" hidden="0" customWidth="1"/>
    <x:col min="11" max="11" width="17" hidden="0" customWidth="1"/>
    <x:col min="12" max="12" width="65" hidden="0" customWidth="1"/>
    <x:col min="13" max="13" width="78" hidden="0" customWidth="1"/>
    <x:col min="14" max="14" width="55" hidden="0" customWidth="1"/>
    <x:col min="15" max="15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角色外观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8" t="str">
        <x:v>外观ID</x:v>
      </x:c>
      <x:c r="B6" s="8" t="str">
        <x:v>套系</x:v>
      </x:c>
      <x:c r="C6" s="8" t="str">
        <x:v>名称</x:v>
      </x:c>
      <x:c r="D6" s="8" t="str">
        <x:v>槽位</x:v>
      </x:c>
      <x:c r="E6" s="8" t="str">
        <x:v>品质</x:v>
      </x:c>
      <x:c r="F6" s="8" t="str">
        <x:v>批次</x:v>
      </x:c>
      <x:c r="G6" s="8" t="str">
        <x:v>主获取</x:v>
      </x:c>
      <x:c r="H6" s="8" t="str">
        <x:v>地区ID</x:v>
      </x:c>
      <x:c r="I6" s="8" t="str">
        <x:v>见闻要求</x:v>
      </x:c>
      <x:c r="J6" s="8" t="str">
        <x:v>星晶直购</x:v>
      </x:c>
      <x:c r="K6" s="8" t="str">
        <x:v>星屑兑换</x:v>
      </x:c>
      <x:c r="L6" s="8" t="str">
        <x:v>明确获取条件</x:v>
      </x:c>
      <x:c r="M6" s="8" t="str">
        <x:v>视觉规格</x:v>
      </x:c>
      <x:c r="N6" s="8" t="str">
        <x:v>使用范围</x:v>
      </x:c>
      <x:c r="O6" s="8" t="str">
        <x:v>状态</x:v>
      </x:c>
    </x:row>
    <x:row r="7" ht="48" customHeight="1">
      <x:c r="A7" s="9" t="str">
        <x:v>COS_INTRO_FRAME</x:v>
      </x:c>
      <x:c r="B7" s="9" t="str">
        <x:v>荣誉典藏</x:v>
      </x:c>
      <x:c r="C7" s="9" t="str">
        <x:v>初次来信</x:v>
      </x:c>
      <x:c r="D7" s="9" t="str">
        <x:v>头像框</x:v>
      </x:c>
      <x:c r="E7" s="9" t="str">
        <x:v>R</x:v>
      </x:c>
      <x:c r="F7" s="9" t="str">
        <x:v>首发</x:v>
      </x:c>
      <x:c r="G7" s="9" t="str">
        <x:v>成就</x:v>
      </x:c>
      <x:c r="H7" s="9" t="str">
        <x:v>NONE</x:v>
      </x:c>
      <x:c r="I7" s="9" t="n">
        <x:v>0</x:v>
      </x:c>
      <x:c r="J7" s="9" t="n">
        <x:v>0</x:v>
      </x:c>
      <x:c r="K7" s="9" t="n">
        <x:v>0</x:v>
      </x:c>
      <x:c r="L7" s="9" t="str">
        <x:v>完成新手选择角色</x:v>
      </x:c>
      <x:c r="M7" s="9" t="str">
        <x:v>基础主题专属纹章；展示获得日期；强度可调</x:v>
      </x:c>
      <x:c r="N7" s="9" t="str">
        <x:v>账号解锁；每角色独立装配；三类角色通用</x:v>
      </x:c>
      <x:c r="O7" s="9" t="str">
        <x:v>待开发，当前没有装配账本</x:v>
      </x:c>
    </x:row>
    <x:row r="8" ht="48" customHeight="1">
      <x:c r="A8" s="10" t="str">
        <x:v>COS_01_2</x:v>
      </x:c>
      <x:c r="B8" s="10" t="str">
        <x:v>芽叶来信</x:v>
      </x:c>
      <x:c r="C8" s="10" t="str">
        <x:v>芽叶来信·话笺</x:v>
      </x:c>
      <x:c r="D8" s="10" t="str">
        <x:v>气泡框</x:v>
      </x:c>
      <x:c r="E8" s="10" t="str">
        <x:v>R</x:v>
      </x:c>
      <x:c r="F8" s="10" t="str">
        <x:v>首发</x:v>
      </x:c>
      <x:c r="G8" s="10" t="str">
        <x:v>见闻</x:v>
      </x:c>
      <x:c r="H8" s="10" t="str">
        <x:v>REG_01</x:v>
      </x:c>
      <x:c r="I8" s="10" t="n">
        <x:v>3</x:v>
      </x:c>
      <x:c r="J8" s="10" t="n">
        <x:v>0</x:v>
      </x:c>
      <x:c r="K8" s="10" t="n">
        <x:v>0</x:v>
      </x:c>
      <x:c r="L8" s="10" t="str">
        <x:v>本地区普通旅行3次</x:v>
      </x:c>
      <x:c r="M8" s="10" t="str">
        <x:v>柔绿叶脉；九宫格边框，不改变正文排版</x:v>
      </x:c>
      <x:c r="N8" s="10" t="str">
        <x:v>账号解锁；每角色独立装配；三类角色通用</x:v>
      </x:c>
      <x:c r="O8" s="10" t="str">
        <x:v>待开发，当前没有装配账本</x:v>
      </x:c>
    </x:row>
    <x:row r="9" ht="48" customHeight="1">
      <x:c r="A9" s="9" t="str">
        <x:v>HONOR_03</x:v>
      </x:c>
      <x:c r="B9" s="9" t="str">
        <x:v>荣誉典藏</x:v>
      </x:c>
      <x:c r="C9" s="9" t="str">
        <x:v>金色收藏家</x:v>
      </x:c>
      <x:c r="D9" s="9" t="str">
        <x:v>头像框</x:v>
      </x:c>
      <x:c r="E9" s="9" t="str">
        <x:v>SR</x:v>
      </x:c>
      <x:c r="F9" s="9" t="str">
        <x:v>首发</x:v>
      </x:c>
      <x:c r="G9" s="9" t="str">
        <x:v>成就</x:v>
      </x:c>
      <x:c r="H9" s="9" t="str">
        <x:v>NONE</x:v>
      </x:c>
      <x:c r="I9" s="9" t="n">
        <x:v>0</x:v>
      </x:c>
      <x:c r="J9" s="9" t="n">
        <x:v>0</x:v>
      </x:c>
      <x:c r="K9" s="9" t="n">
        <x:v>0</x:v>
      </x:c>
      <x:c r="L9" s="9" t="str">
        <x:v>收藏6种金色物种，实体或已登记标本</x:v>
      </x:c>
      <x:c r="M9" s="9" t="str">
        <x:v>繁育主题专属纹章；展示获得日期；强度可调</x:v>
      </x:c>
      <x:c r="N9" s="9" t="str">
        <x:v>账号解锁；每角色独立装配；三类角色通用</x:v>
      </x:c>
      <x:c r="O9" s="9" t="str">
        <x:v>待开发，当前没有装配账本</x:v>
      </x:c>
    </x:row>
    <x:row r="10" ht="48" customHeight="1">
      <x:c r="A10" s="10" t="str">
        <x:v>COS_07_3</x:v>
      </x:c>
      <x:c r="B10" s="10" t="str">
        <x:v>星海邮差</x:v>
      </x:c>
      <x:c r="C10" s="10" t="str">
        <x:v>步生花</x:v>
      </x:c>
      <x:c r="D10" s="10" t="str">
        <x:v>脚印</x:v>
      </x:c>
      <x:c r="E10" s="10" t="str">
        <x:v>SR</x:v>
      </x:c>
      <x:c r="F10" s="10" t="str">
        <x:v>首发</x:v>
      </x:c>
      <x:c r="G10" s="10" t="str">
        <x:v>珍藏</x:v>
      </x:c>
      <x:c r="H10" s="10" t="str">
        <x:v>REG_07</x:v>
      </x:c>
      <x:c r="I10" s="10" t="n">
        <x:v>0</x:v>
      </x:c>
      <x:c r="J10" s="10" t="n">
        <x:v>480</x:v>
      </x:c>
      <x:c r="K10" s="10" t="n">
        <x:v>80</x:v>
      </x:c>
      <x:c r="L10" s="10" t="str">
        <x:v>混合珍藏池抽取；上线即开放碎片定向兑换；常驻可星晶直购</x:v>
      </x:c>
      <x:c r="M10" s="10" t="str">
        <x:v>复用试衣间落脚花瓣方案；待正式装配和联机验收</x:v>
      </x:c>
      <x:c r="N10" s="10" t="str">
        <x:v>账号解锁；每角色独立装配；三类角色通用</x:v>
      </x:c>
      <x:c r="O10" s="10" t="str">
        <x:v>待开发，当前没有装配账本</x:v>
      </x:c>
    </x:row>
    <x:row r="11" ht="48" customHeight="1">
      <x:c r="A11" s="9" t="str">
        <x:v>COS_07_4</x:v>
      </x:c>
      <x:c r="B11" s="9" t="str">
        <x:v>星海邮差</x:v>
      </x:c>
      <x:c r="C11" s="9" t="str">
        <x:v>月蚀来访</x:v>
      </x:c>
      <x:c r="D11" s="9" t="str">
        <x:v>入场动画</x:v>
      </x:c>
      <x:c r="E11" s="9" t="str">
        <x:v>SSR</x:v>
      </x:c>
      <x:c r="F11" s="9" t="str">
        <x:v>首发</x:v>
      </x:c>
      <x:c r="G11" s="9" t="str">
        <x:v>珍藏</x:v>
      </x:c>
      <x:c r="H11" s="9" t="str">
        <x:v>REG_07</x:v>
      </x:c>
      <x:c r="I11" s="9" t="n">
        <x:v>0</x:v>
      </x:c>
      <x:c r="J11" s="9" t="n">
        <x:v>980</x:v>
      </x:c>
      <x:c r="K11" s="9" t="n">
        <x:v>160</x:v>
      </x:c>
      <x:c r="L11" s="9" t="str">
        <x:v>混合珍藏池抽取；上线即开放碎片定向兑换；常驻可星晶直购</x:v>
      </x:c>
      <x:c r="M11" s="9" t="str">
        <x:v>银紫黑洞主题入场；仅预览材质可复用，完整入场需制作</x:v>
      </x:c>
      <x:c r="N11" s="9" t="str">
        <x:v>账号解锁；每角色独立装配；三类角色通用</x:v>
      </x:c>
      <x:c r="O11" s="9" t="str">
        <x:v>待开发，当前没有装配账本</x:v>
      </x:c>
    </x:row>
    <x:row r="12" ht="48" customHeight="1">
      <x:c r="A12" s="10" t="str">
        <x:v>COS_07_5</x:v>
      </x:c>
      <x:c r="B12" s="10" t="str">
        <x:v>星海邮差</x:v>
      </x:c>
      <x:c r="C12" s="10" t="str">
        <x:v>苍蓝幽焰</x:v>
      </x:c>
      <x:c r="D12" s="10" t="str">
        <x:v>残影</x:v>
      </x:c>
      <x:c r="E12" s="10" t="str">
        <x:v>SSR</x:v>
      </x:c>
      <x:c r="F12" s="10" t="str">
        <x:v>首发</x:v>
      </x:c>
      <x:c r="G12" s="10" t="str">
        <x:v>珍藏</x:v>
      </x:c>
      <x:c r="H12" s="10" t="str">
        <x:v>REG_07</x:v>
      </x:c>
      <x:c r="I12" s="10" t="n">
        <x:v>0</x:v>
      </x:c>
      <x:c r="J12" s="10" t="n">
        <x:v>980</x:v>
      </x:c>
      <x:c r="K12" s="10" t="n">
        <x:v>160</x:v>
      </x:c>
      <x:c r="L12" s="10" t="str">
        <x:v>混合珍藏池抽取；上线即开放碎片定向兑换；常驻可星晶直购</x:v>
      </x:c>
      <x:c r="M12" s="10" t="str">
        <x:v>复用试衣间短尾焰方案；待三形态适配和联机验收</x:v>
      </x:c>
      <x:c r="N12" s="10" t="str">
        <x:v>账号解锁；每角色独立装配；三类角色通用</x:v>
      </x:c>
      <x:c r="O12" s="10" t="str">
        <x:v>待开发，当前没有装配账本</x:v>
      </x:c>
    </x:row>
    <x:row r="13" ht="48" customHeight="1">
      <x:c r="A13" s="9" t="str">
        <x:v>HONOR_04</x:v>
      </x:c>
      <x:c r="B13" s="9" t="str">
        <x:v>荣誉典藏</x:v>
      </x:c>
      <x:c r="C13" s="9" t="str">
        <x:v>谱系织梦者</x:v>
      </x:c>
      <x:c r="D13" s="9" t="str">
        <x:v>入场动画</x:v>
      </x:c>
      <x:c r="E13" s="9" t="str">
        <x:v>SSR</x:v>
      </x:c>
      <x:c r="F13" s="9" t="str">
        <x:v>M2</x:v>
      </x:c>
      <x:c r="G13" s="9" t="str">
        <x:v>成就</x:v>
      </x:c>
      <x:c r="H13" s="9" t="str">
        <x:v>NONE</x:v>
      </x:c>
      <x:c r="I13" s="9" t="n">
        <x:v>0</x:v>
      </x:c>
      <x:c r="J13" s="9" t="n">
        <x:v>0</x:v>
      </x:c>
      <x:c r="K13" s="9" t="n">
        <x:v>0</x:v>
      </x:c>
      <x:c r="L13" s="9" t="str">
        <x:v>30次有效繁育＋3条不同金色谱系</x:v>
      </x:c>
      <x:c r="M13" s="9" t="str">
        <x:v>繁育主题专属纹章；展示获得日期；强度可调</x:v>
      </x:c>
      <x:c r="N13" s="9" t="str">
        <x:v>账号解锁；每角色独立装配；三类角色通用</x:v>
      </x:c>
      <x:c r="O13" s="9" t="str">
        <x:v>待开发，当前没有装配账本</x:v>
      </x:c>
    </x:row>
    <x:row r="14" ht="48" customHeight="1">
      <x:c r="A14" s="10" t="str">
        <x:v>HONOR_08</x:v>
      </x:c>
      <x:c r="B14" s="10" t="str">
        <x:v>荣誉典藏</x:v>
      </x:c>
      <x:c r="C14" s="10" t="str">
        <x:v>远行之光</x:v>
      </x:c>
      <x:c r="D14" s="10" t="str">
        <x:v>残影</x:v>
      </x:c>
      <x:c r="E14" s="10" t="str">
        <x:v>SSR</x:v>
      </x:c>
      <x:c r="F14" s="10" t="str">
        <x:v>M2</x:v>
      </x:c>
      <x:c r="G14" s="10" t="str">
        <x:v>成就</x:v>
      </x:c>
      <x:c r="H14" s="10" t="str">
        <x:v>NONE</x:v>
      </x:c>
      <x:c r="I14" s="10" t="n">
        <x:v>0</x:v>
      </x:c>
      <x:c r="J14" s="10" t="n">
        <x:v>0</x:v>
      </x:c>
      <x:c r="K14" s="10" t="n">
        <x:v>0</x:v>
      </x:c>
      <x:c r="L14" s="10" t="str">
        <x:v>完成一地区12次见闻且总旅行30次</x:v>
      </x:c>
      <x:c r="M14" s="10" t="str">
        <x:v>旅行主题专属纹章；展示获得日期；强度可调</x:v>
      </x:c>
      <x:c r="N14" s="10" t="str">
        <x:v>账号解锁；每角色独立装配；三类角色通用</x:v>
      </x:c>
      <x:c r="O14" s="10" t="str">
        <x:v>待开发，当前没有装配账本</x:v>
      </x:c>
    </x:row>
    <x:row r="15" ht="48" customHeight="1">
      <x:c r="A15" s="9" t="str">
        <x:v>COS_08_4</x:v>
      </x:c>
      <x:c r="B15" s="9" t="str">
        <x:v>琉璃月兔</x:v>
      </x:c>
      <x:c r="C15" s="9" t="str">
        <x:v>琉璃月兔·来访</x:v>
      </x:c>
      <x:c r="D15" s="9" t="str">
        <x:v>入场动画</x:v>
      </x:c>
      <x:c r="E15" s="9" t="str">
        <x:v>SSR</x:v>
      </x:c>
      <x:c r="F15" s="9" t="str">
        <x:v>M2</x:v>
      </x:c>
      <x:c r="G15" s="9" t="str">
        <x:v>珍藏</x:v>
      </x:c>
      <x:c r="H15" s="9" t="str">
        <x:v>REG_08</x:v>
      </x:c>
      <x:c r="I15" s="9" t="n">
        <x:v>0</x:v>
      </x:c>
      <x:c r="J15" s="9" t="n">
        <x:v>980</x:v>
      </x:c>
      <x:c r="K15" s="9" t="n">
        <x:v>160</x:v>
      </x:c>
      <x:c r="L15" s="9" t="str">
        <x:v>混合珍藏池抽取；上线即开放碎片定向兑换；常驻可星晶直购</x:v>
      </x:c>
      <x:c r="M15" s="9" t="str">
        <x:v>月白玻璃碎光；2秒展开并淡出，不占角色动作槽</x:v>
      </x:c>
      <x:c r="N15" s="9" t="str">
        <x:v>账号解锁；每角色独立装配；三类角色通用</x:v>
      </x:c>
      <x:c r="O15" s="9" t="str">
        <x:v>待开发，当前没有装配账本</x:v>
      </x:c>
    </x:row>
    <x:row r="16" ht="48" customHeight="1">
      <x:c r="A16" s="10" t="str">
        <x:v>COS_08_5</x:v>
      </x:c>
      <x:c r="B16" s="10" t="str">
        <x:v>琉璃月兔</x:v>
      </x:c>
      <x:c r="C16" s="10" t="str">
        <x:v>琉璃月兔·流影</x:v>
      </x:c>
      <x:c r="D16" s="10" t="str">
        <x:v>残影</x:v>
      </x:c>
      <x:c r="E16" s="10" t="str">
        <x:v>SSR</x:v>
      </x:c>
      <x:c r="F16" s="10" t="str">
        <x:v>M2</x:v>
      </x:c>
      <x:c r="G16" s="10" t="str">
        <x:v>珍藏</x:v>
      </x:c>
      <x:c r="H16" s="10" t="str">
        <x:v>REG_08</x:v>
      </x:c>
      <x:c r="I16" s="10" t="n">
        <x:v>0</x:v>
      </x:c>
      <x:c r="J16" s="10" t="n">
        <x:v>980</x:v>
      </x:c>
      <x:c r="K16" s="10" t="n">
        <x:v>160</x:v>
      </x:c>
      <x:c r="L16" s="10" t="str">
        <x:v>混合珍藏池抽取；上线即开放碎片定向兑换；常驻可星晶直购</x:v>
      </x:c>
      <x:c r="M16" s="10" t="str">
        <x:v>月白玻璃碎光；0.5秒轮廓余辉，不复制实体</x:v>
      </x:c>
      <x:c r="N16" s="10" t="str">
        <x:v>账号解锁；每角色独立装配；三类角色通用</x:v>
      </x:c>
      <x:c r="O16" s="10" t="str">
        <x:v>待开发，当前没有装配账本</x:v>
      </x:c>
    </x:row>
    <x:row r="17" ht="48" customHeight="1">
      <x:c r="A17" s="9" t="str">
        <x:v>HONOR_06</x:v>
      </x:c>
      <x:c r="B17" s="9" t="str">
        <x:v>荣誉典藏</x:v>
      </x:c>
      <x:c r="C17" s="9" t="str">
        <x:v>天气信使</x:v>
      </x:c>
      <x:c r="D17" s="9" t="str">
        <x:v>脚印</x:v>
      </x:c>
      <x:c r="E17" s="9" t="str">
        <x:v>SR</x:v>
      </x:c>
      <x:c r="F17" s="9" t="str">
        <x:v>M3</x:v>
      </x:c>
      <x:c r="G17" s="9" t="str">
        <x:v>成就</x:v>
      </x:c>
      <x:c r="H17" s="9" t="str">
        <x:v>NONE</x:v>
      </x:c>
      <x:c r="I17" s="9" t="n">
        <x:v>0</x:v>
      </x:c>
      <x:c r="J17" s="9" t="n">
        <x:v>0</x:v>
      </x:c>
      <x:c r="K17" s="9" t="n">
        <x:v>0</x:v>
      </x:c>
      <x:c r="L17" s="9" t="str">
        <x:v>向真人分享珍稀天气累计10个有效受益日</x:v>
      </x:c>
      <x:c r="M17" s="9" t="str">
        <x:v>天气主题专属纹章；展示获得日期；强度可调</x:v>
      </x:c>
      <x:c r="N17" s="9" t="str">
        <x:v>账号解锁；每角色独立装配；三类角色通用</x:v>
      </x:c>
      <x:c r="O17" s="9" t="str">
        <x:v>待开发，当前没有装配账本</x:v>
      </x:c>
    </x:row>
    <x:row r="18" ht="48" customHeight="1">
      <x:c r="A18" s="10" t="str">
        <x:v>COS_09_4</x:v>
      </x:c>
      <x:c r="B18" s="10" t="str">
        <x:v>云鲸漫游</x:v>
      </x:c>
      <x:c r="C18" s="10" t="str">
        <x:v>云鲸漫游·来访</x:v>
      </x:c>
      <x:c r="D18" s="10" t="str">
        <x:v>入场动画</x:v>
      </x:c>
      <x:c r="E18" s="10" t="str">
        <x:v>SSR</x:v>
      </x:c>
      <x:c r="F18" s="10" t="str">
        <x:v>M3</x:v>
      </x:c>
      <x:c r="G18" s="10" t="str">
        <x:v>珍藏</x:v>
      </x:c>
      <x:c r="H18" s="10" t="str">
        <x:v>REG_09</x:v>
      </x:c>
      <x:c r="I18" s="10" t="n">
        <x:v>0</x:v>
      </x:c>
      <x:c r="J18" s="10" t="n">
        <x:v>980</x:v>
      </x:c>
      <x:c r="K18" s="10" t="n">
        <x:v>160</x:v>
      </x:c>
      <x:c r="L18" s="10" t="str">
        <x:v>混合珍藏池抽取；上线即开放碎片定向兑换；常驻可星晶直购</x:v>
      </x:c>
      <x:c r="M18" s="10" t="str">
        <x:v>奶白云朵与鲸尾；2秒展开并淡出，不占角色动作槽</x:v>
      </x:c>
      <x:c r="N18" s="10" t="str">
        <x:v>账号解锁；每角色独立装配；三类角色通用</x:v>
      </x:c>
      <x:c r="O18" s="10" t="str">
        <x:v>待开发，当前没有装配账本</x:v>
      </x:c>
    </x:row>
    <x:row r="19" ht="48" customHeight="1">
      <x:c r="A19" s="9" t="str">
        <x:v>COS_09_5</x:v>
      </x:c>
      <x:c r="B19" s="9" t="str">
        <x:v>云鲸漫游</x:v>
      </x:c>
      <x:c r="C19" s="9" t="str">
        <x:v>云鲸漫游·流影</x:v>
      </x:c>
      <x:c r="D19" s="9" t="str">
        <x:v>残影</x:v>
      </x:c>
      <x:c r="E19" s="9" t="str">
        <x:v>SSR</x:v>
      </x:c>
      <x:c r="F19" s="9" t="str">
        <x:v>M3</x:v>
      </x:c>
      <x:c r="G19" s="9" t="str">
        <x:v>珍藏</x:v>
      </x:c>
      <x:c r="H19" s="9" t="str">
        <x:v>REG_09</x:v>
      </x:c>
      <x:c r="I19" s="9" t="n">
        <x:v>0</x:v>
      </x:c>
      <x:c r="J19" s="9" t="n">
        <x:v>980</x:v>
      </x:c>
      <x:c r="K19" s="9" t="n">
        <x:v>160</x:v>
      </x:c>
      <x:c r="L19" s="9" t="str">
        <x:v>混合珍藏池抽取；上线即开放碎片定向兑换；常驻可星晶直购</x:v>
      </x:c>
      <x:c r="M19" s="9" t="str">
        <x:v>奶白云朵与鲸尾；0.5秒轮廓余辉，不复制实体</x:v>
      </x:c>
      <x:c r="N19" s="9" t="str">
        <x:v>账号解锁；每角色独立装配；三类角色通用</x:v>
      </x:c>
      <x:c r="O19" s="9" t="str">
        <x:v>待开发，当前没有装配账本</x:v>
      </x:c>
    </x:row>
    <x:row r="20" ht="48" customHeight="1">
      <x:c r="A20" s="10" t="str">
        <x:v>HONOR_12</x:v>
      </x:c>
      <x:c r="B20" s="10" t="str">
        <x:v>荣誉典藏</x:v>
      </x:c>
      <x:c r="C20" s="10" t="str">
        <x:v>百日星尘</x:v>
      </x:c>
      <x:c r="D20" s="10" t="str">
        <x:v>残影</x:v>
      </x:c>
      <x:c r="E20" s="10" t="str">
        <x:v>SSR</x:v>
      </x:c>
      <x:c r="F20" s="10" t="str">
        <x:v>M4</x:v>
      </x:c>
      <x:c r="G20" s="10" t="str">
        <x:v>成就</x:v>
      </x:c>
      <x:c r="H20" s="10" t="str">
        <x:v>NONE</x:v>
      </x:c>
      <x:c r="I20" s="10" t="n">
        <x:v>0</x:v>
      </x:c>
      <x:c r="J20" s="10" t="n">
        <x:v>0</x:v>
      </x:c>
      <x:c r="K20" s="10" t="n">
        <x:v>0</x:v>
      </x:c>
      <x:c r="L20" s="10" t="str">
        <x:v>累计100活跃日＋10个地区6次见闻</x:v>
      </x:c>
      <x:c r="M20" s="10" t="str">
        <x:v>长期主题专属纹章；展示获得日期；强度可调</x:v>
      </x:c>
      <x:c r="N20" s="10" t="str">
        <x:v>账号解锁；每角色独立装配；三类角色通用</x:v>
      </x:c>
      <x:c r="O20" s="10" t="str">
        <x:v>待开发，当前没有装配账本</x:v>
      </x:c>
    </x:row>
    <x:row r="21" ht="48" customHeight="1">
      <x:c r="A21" s="9" t="str">
        <x:v>COS_12_4</x:v>
      </x:c>
      <x:c r="B21" s="9" t="str">
        <x:v>极光旅人</x:v>
      </x:c>
      <x:c r="C21" s="9" t="str">
        <x:v>极光旅人·来访</x:v>
      </x:c>
      <x:c r="D21" s="9" t="str">
        <x:v>入场动画</x:v>
      </x:c>
      <x:c r="E21" s="9" t="str">
        <x:v>SSR</x:v>
      </x:c>
      <x:c r="F21" s="9" t="str">
        <x:v>M4</x:v>
      </x:c>
      <x:c r="G21" s="9" t="str">
        <x:v>珍藏</x:v>
      </x:c>
      <x:c r="H21" s="9" t="str">
        <x:v>REG_12</x:v>
      </x:c>
      <x:c r="I21" s="9" t="n">
        <x:v>0</x:v>
      </x:c>
      <x:c r="J21" s="9" t="n">
        <x:v>980</x:v>
      </x:c>
      <x:c r="K21" s="9" t="n">
        <x:v>160</x:v>
      </x:c>
      <x:c r="L21" s="9" t="str">
        <x:v>混合珍藏池抽取；上线即开放碎片定向兑换；常驻可星晶直购</x:v>
      </x:c>
      <x:c r="M21" s="9" t="str">
        <x:v>青紫极光带；2秒展开并淡出，不占角色动作槽</x:v>
      </x:c>
      <x:c r="N21" s="9" t="str">
        <x:v>账号解锁；每角色独立装配；三类角色通用</x:v>
      </x:c>
      <x:c r="O21" s="9" t="str">
        <x:v>待开发，当前没有装配账本</x:v>
      </x:c>
    </x:row>
    <x:row r="22" ht="48" customHeight="1">
      <x:c r="A22" s="10" t="str">
        <x:v>COS_12_5</x:v>
      </x:c>
      <x:c r="B22" s="10" t="str">
        <x:v>极光旅人</x:v>
      </x:c>
      <x:c r="C22" s="10" t="str">
        <x:v>极光旅人·流影</x:v>
      </x:c>
      <x:c r="D22" s="10" t="str">
        <x:v>残影</x:v>
      </x:c>
      <x:c r="E22" s="10" t="str">
        <x:v>SSR</x:v>
      </x:c>
      <x:c r="F22" s="10" t="str">
        <x:v>M4</x:v>
      </x:c>
      <x:c r="G22" s="10" t="str">
        <x:v>珍藏</x:v>
      </x:c>
      <x:c r="H22" s="10" t="str">
        <x:v>REG_12</x:v>
      </x:c>
      <x:c r="I22" s="10" t="n">
        <x:v>0</x:v>
      </x:c>
      <x:c r="J22" s="10" t="n">
        <x:v>980</x:v>
      </x:c>
      <x:c r="K22" s="10" t="n">
        <x:v>160</x:v>
      </x:c>
      <x:c r="L22" s="10" t="str">
        <x:v>混合珍藏池抽取；上线即开放碎片定向兑换；常驻可星晶直购</x:v>
      </x:c>
      <x:c r="M22" s="10" t="str">
        <x:v>青紫极光带；0.5秒轮廓余辉，不复制实体</x:v>
      </x:c>
      <x:c r="N22" s="10" t="str">
        <x:v>账号解锁；每角色独立装配；三类角色通用</x:v>
      </x:c>
      <x:c r="O22" s="10" t="str">
        <x:v>待开发，当前没有装配账本</x:v>
      </x:c>
    </x:row>
  </x:sheetData>
  <x:pageMargins left="0.7" right="0.7" top="0.75" bottom="0.75" header="0.3" footer="0.3"/>
  <x:tableParts count="1">
    <x:tablePart xmlns:r="http://schemas.openxmlformats.org/officeDocument/2006/relationships" r:id="R389edca1ad10470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32" hidden="0" customWidth="1"/>
    <x:col min="4" max="4" width="52" hidden="0" customWidth="1"/>
    <x:col min="5" max="5" width="48" hidden="0" customWidth="1"/>
    <x:col min="6" max="6" width="67" hidden="0" customWidth="1"/>
    <x:col min="7" max="7" width="52" hidden="0" customWidth="1"/>
    <x:col min="8" max="8" width="59" hidden="0" customWidth="1"/>
    <x:col min="9" max="9" width="60" hidden="0" customWidth="1"/>
    <x:col min="10" max="10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装配与表现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8" t="str">
        <x:v>外观槽</x:v>
      </x:c>
      <x:c r="B6" s="8" t="str">
        <x:v>角色类型</x:v>
      </x:c>
      <x:c r="C6" s="8" t="str">
        <x:v>定位基准</x:v>
      </x:c>
      <x:c r="D6" s="8" t="str">
        <x:v>触发条件</x:v>
      </x:c>
      <x:c r="E6" s="8" t="str">
        <x:v>播放预算</x:v>
      </x:c>
      <x:c r="F6" s="8" t="str">
        <x:v>降级适配</x:v>
      </x:c>
      <x:c r="G6" s="8" t="str">
        <x:v>交互限制</x:v>
      </x:c>
      <x:c r="H6" s="8" t="str">
        <x:v>用户设置</x:v>
      </x:c>
      <x:c r="I6" s="8" t="str">
        <x:v>联机规则</x:v>
      </x:c>
      <x:c r="J6" s="8" t="str">
        <x:v>状态</x:v>
      </x:c>
    </x:row>
    <x:row r="7" ht="48" customHeight="1">
      <x:c r="A7" s="9" t="str">
        <x:v>头像框</x:v>
      </x:c>
      <x:c r="B7" s="9" t="str">
        <x:v>Spine</x:v>
      </x:c>
      <x:c r="C7" s="9" t="str">
        <x:v>头像容器边界</x:v>
      </x:c>
      <x:c r="D7" s="9" t="str">
        <x:v>对应UI显示时应用</x:v>
      </x:c>
      <x:c r="E7" s="9" t="str">
        <x:v>静态底图；可选轻动效</x:v>
      </x:c>
      <x:c r="F7" s="9" t="str">
        <x:v>挂点优先，缺挂点用可见包围盒</x:v>
      </x:c>
      <x:c r="G7" s="9" t="str">
        <x:v>不改角色命中框，不抢鼠标</x:v>
      </x:c>
      <x:c r="H7" s="9" t="str">
        <x:v>减少动态效果：静态框/短淡入；允许只看自己</x:v>
      </x:c>
      <x:c r="I7" s="9" t="str">
        <x:v>客户端资源清单签名＋装备ID由服务端验证</x:v>
      </x:c>
      <x:c r="J7" s="9" t="str">
        <x:v>待开发</x:v>
      </x:c>
    </x:row>
    <x:row r="8" ht="48" customHeight="1">
      <x:c r="A8" s="10" t="str">
        <x:v>头像框</x:v>
      </x:c>
      <x:c r="B8" s="10" t="str">
        <x:v>视频</x:v>
      </x:c>
      <x:c r="C8" s="10" t="str">
        <x:v>头像容器边界</x:v>
      </x:c>
      <x:c r="D8" s="10" t="str">
        <x:v>对应UI显示时应用</x:v>
      </x:c>
      <x:c r="E8" s="10" t="str">
        <x:v>静态底图；可选轻动效</x:v>
      </x:c>
      <x:c r="F8" s="10" t="str">
        <x:v>独立叠加层，不依赖新动作</x:v>
      </x:c>
      <x:c r="G8" s="10" t="str">
        <x:v>不改角色命中框，不抢鼠标</x:v>
      </x:c>
      <x:c r="H8" s="10" t="str">
        <x:v>减少动态效果：静态框/短淡入；允许只看自己</x:v>
      </x:c>
      <x:c r="I8" s="10" t="str">
        <x:v>客户端资源清单签名＋装备ID由服务端验证</x:v>
      </x:c>
      <x:c r="J8" s="10" t="str">
        <x:v>待开发</x:v>
      </x:c>
    </x:row>
    <x:row r="9" ht="48" customHeight="1">
      <x:c r="A9" s="9" t="str">
        <x:v>头像框</x:v>
      </x:c>
      <x:c r="B9" s="9" t="str">
        <x:v>表情包</x:v>
      </x:c>
      <x:c r="C9" s="9" t="str">
        <x:v>头像容器边界</x:v>
      </x:c>
      <x:c r="D9" s="9" t="str">
        <x:v>对应UI显示时应用</x:v>
      </x:c>
      <x:c r="E9" s="9" t="str">
        <x:v>静态底图；可选轻动效</x:v>
      </x:c>
      <x:c r="F9" s="9" t="str">
        <x:v>独立叠加层，不依赖新动作</x:v>
      </x:c>
      <x:c r="G9" s="9" t="str">
        <x:v>不改角色命中框，不抢鼠标</x:v>
      </x:c>
      <x:c r="H9" s="9" t="str">
        <x:v>减少动态效果：静态框/短淡入；允许只看自己</x:v>
      </x:c>
      <x:c r="I9" s="9" t="str">
        <x:v>客户端资源清单签名＋装备ID由服务端验证</x:v>
      </x:c>
      <x:c r="J9" s="9" t="str">
        <x:v>待开发</x:v>
      </x:c>
    </x:row>
    <x:row r="10" ht="48" customHeight="1">
      <x:c r="A10" s="10" t="str">
        <x:v>气泡框</x:v>
      </x:c>
      <x:c r="B10" s="10" t="str">
        <x:v>Spine</x:v>
      </x:c>
      <x:c r="C10" s="10" t="str">
        <x:v>现有气泡独立窗口</x:v>
      </x:c>
      <x:c r="D10" s="10" t="str">
        <x:v>对应UI显示时应用</x:v>
      </x:c>
      <x:c r="E10" s="10" t="str">
        <x:v>静态底图；可选轻动效</x:v>
      </x:c>
      <x:c r="F10" s="10" t="str">
        <x:v>挂点优先，缺挂点用可见包围盒</x:v>
      </x:c>
      <x:c r="G10" s="10" t="str">
        <x:v>不改角色命中框，不抢鼠标</x:v>
      </x:c>
      <x:c r="H10" s="10" t="str">
        <x:v>减少动态效果：静态框/短淡入；允许只看自己</x:v>
      </x:c>
      <x:c r="I10" s="10" t="str">
        <x:v>客户端资源清单签名＋装备ID由服务端验证</x:v>
      </x:c>
      <x:c r="J10" s="10" t="str">
        <x:v>待开发</x:v>
      </x:c>
    </x:row>
    <x:row r="11" ht="48" customHeight="1">
      <x:c r="A11" s="9" t="str">
        <x:v>气泡框</x:v>
      </x:c>
      <x:c r="B11" s="9" t="str">
        <x:v>视频</x:v>
      </x:c>
      <x:c r="C11" s="9" t="str">
        <x:v>现有气泡独立窗口</x:v>
      </x:c>
      <x:c r="D11" s="9" t="str">
        <x:v>对应UI显示时应用</x:v>
      </x:c>
      <x:c r="E11" s="9" t="str">
        <x:v>静态底图；可选轻动效</x:v>
      </x:c>
      <x:c r="F11" s="9" t="str">
        <x:v>独立叠加层，不依赖新动作</x:v>
      </x:c>
      <x:c r="G11" s="9" t="str">
        <x:v>不改角色命中框，不抢鼠标</x:v>
      </x:c>
      <x:c r="H11" s="9" t="str">
        <x:v>减少动态效果：静态框/短淡入；允许只看自己</x:v>
      </x:c>
      <x:c r="I11" s="9" t="str">
        <x:v>客户端资源清单签名＋装备ID由服务端验证</x:v>
      </x:c>
      <x:c r="J11" s="9" t="str">
        <x:v>待开发</x:v>
      </x:c>
    </x:row>
    <x:row r="12" ht="48" customHeight="1">
      <x:c r="A12" s="10" t="str">
        <x:v>气泡框</x:v>
      </x:c>
      <x:c r="B12" s="10" t="str">
        <x:v>表情包</x:v>
      </x:c>
      <x:c r="C12" s="10" t="str">
        <x:v>现有气泡独立窗口</x:v>
      </x:c>
      <x:c r="D12" s="10" t="str">
        <x:v>对应UI显示时应用</x:v>
      </x:c>
      <x:c r="E12" s="10" t="str">
        <x:v>静态底图；可选轻动效</x:v>
      </x:c>
      <x:c r="F12" s="10" t="str">
        <x:v>独立叠加层，不依赖新动作</x:v>
      </x:c>
      <x:c r="G12" s="10" t="str">
        <x:v>不改角色命中框，不抢鼠标</x:v>
      </x:c>
      <x:c r="H12" s="10" t="str">
        <x:v>减少动态效果：静态框/短淡入；允许只看自己</x:v>
      </x:c>
      <x:c r="I12" s="10" t="str">
        <x:v>客户端资源清单签名＋装备ID由服务端验证</x:v>
      </x:c>
      <x:c r="J12" s="10" t="str">
        <x:v>待开发</x:v>
      </x:c>
    </x:row>
    <x:row r="13" ht="48" customHeight="1">
      <x:c r="A13" s="9" t="str">
        <x:v>脚印</x:v>
      </x:c>
      <x:c r="B13" s="9" t="str">
        <x:v>Spine</x:v>
      </x:c>
      <x:c r="C13" s="9" t="str">
        <x:v>可见包围盒底部中心</x:v>
      </x:c>
      <x:c r="D13" s="9" t="str">
        <x:v>实际角色移动产生，窗口拖动不触发</x:v>
      </x:c>
      <x:c r="E13" s="9" t="str">
        <x:v>每24px一对，上限12对，1.2秒淡出</x:v>
      </x:c>
      <x:c r="F13" s="9" t="str">
        <x:v>挂点优先，缺挂点用可见包围盒</x:v>
      </x:c>
      <x:c r="G13" s="9" t="str">
        <x:v>不改角色命中框，不抢鼠标</x:v>
      </x:c>
      <x:c r="H13" s="9" t="str">
        <x:v>减少动态效果：静态框/短淡入；允许只看自己</x:v>
      </x:c>
      <x:c r="I13" s="9" t="str">
        <x:v>客户端资源清单签名＋装备ID由服务端验证</x:v>
      </x:c>
      <x:c r="J13" s="9" t="str">
        <x:v>待开发</x:v>
      </x:c>
    </x:row>
    <x:row r="14" ht="48" customHeight="1">
      <x:c r="A14" s="10" t="str">
        <x:v>脚印</x:v>
      </x:c>
      <x:c r="B14" s="10" t="str">
        <x:v>视频</x:v>
      </x:c>
      <x:c r="C14" s="10" t="str">
        <x:v>可见包围盒底部中心</x:v>
      </x:c>
      <x:c r="D14" s="10" t="str">
        <x:v>实际角色移动产生，窗口拖动不触发</x:v>
      </x:c>
      <x:c r="E14" s="10" t="str">
        <x:v>每24px一对，上限12对，1.2秒淡出</x:v>
      </x:c>
      <x:c r="F14" s="10" t="str">
        <x:v>独立叠加层，不依赖新动作</x:v>
      </x:c>
      <x:c r="G14" s="10" t="str">
        <x:v>不改角色命中框，不抢鼠标</x:v>
      </x:c>
      <x:c r="H14" s="10" t="str">
        <x:v>减少动态效果：静态框/短淡入；允许只看自己</x:v>
      </x:c>
      <x:c r="I14" s="10" t="str">
        <x:v>客户端资源清单签名＋装备ID由服务端验证</x:v>
      </x:c>
      <x:c r="J14" s="10" t="str">
        <x:v>待开发</x:v>
      </x:c>
    </x:row>
    <x:row r="15" ht="48" customHeight="1">
      <x:c r="A15" s="9" t="str">
        <x:v>脚印</x:v>
      </x:c>
      <x:c r="B15" s="9" t="str">
        <x:v>表情包</x:v>
      </x:c>
      <x:c r="C15" s="9" t="str">
        <x:v>可见包围盒底部中心</x:v>
      </x:c>
      <x:c r="D15" s="9" t="str">
        <x:v>实际角色移动产生，窗口拖动不触发</x:v>
      </x:c>
      <x:c r="E15" s="9" t="str">
        <x:v>每24px一对，上限12对，1.2秒淡出</x:v>
      </x:c>
      <x:c r="F15" s="9" t="str">
        <x:v>独立叠加层，不依赖新动作</x:v>
      </x:c>
      <x:c r="G15" s="9" t="str">
        <x:v>不改角色命中框，不抢鼠标</x:v>
      </x:c>
      <x:c r="H15" s="9" t="str">
        <x:v>减少动态效果：静态框/短淡入；允许只看自己</x:v>
      </x:c>
      <x:c r="I15" s="9" t="str">
        <x:v>客户端资源清单签名＋装备ID由服务端验证</x:v>
      </x:c>
      <x:c r="J15" s="9" t="str">
        <x:v>待开发</x:v>
      </x:c>
    </x:row>
    <x:row r="16" ht="48" customHeight="1">
      <x:c r="A16" s="10" t="str">
        <x:v>入场动画</x:v>
      </x:c>
      <x:c r="B16" s="10" t="str">
        <x:v>Spine</x:v>
      </x:c>
      <x:c r="C16" s="10" t="str">
        <x:v>场景入场点</x:v>
      </x:c>
      <x:c r="D16" s="10" t="str">
        <x:v>成功进入房间且资产验证后播放一次</x:v>
      </x:c>
      <x:c r="E16" s="10" t="str">
        <x:v>2秒，个人同房10分钟冷却</x:v>
      </x:c>
      <x:c r="F16" s="10" t="str">
        <x:v>挂点优先，缺挂点用可见包围盒</x:v>
      </x:c>
      <x:c r="G16" s="10" t="str">
        <x:v>不遮挡聊天/培育提示，不控制角色位置</x:v>
      </x:c>
      <x:c r="H16" s="10" t="str">
        <x:v>减少动态效果：静态框/短淡入；允许只看自己</x:v>
      </x:c>
      <x:c r="I16" s="10" t="str">
        <x:v>客户端资源清单签名＋装备ID由服务端验证</x:v>
      </x:c>
      <x:c r="J16" s="10" t="str">
        <x:v>待开发</x:v>
      </x:c>
    </x:row>
    <x:row r="17" ht="48" customHeight="1">
      <x:c r="A17" s="9" t="str">
        <x:v>入场动画</x:v>
      </x:c>
      <x:c r="B17" s="9" t="str">
        <x:v>视频</x:v>
      </x:c>
      <x:c r="C17" s="9" t="str">
        <x:v>场景入场点</x:v>
      </x:c>
      <x:c r="D17" s="9" t="str">
        <x:v>成功进入房间且资产验证后播放一次</x:v>
      </x:c>
      <x:c r="E17" s="9" t="str">
        <x:v>2秒，个人同房10分钟冷却</x:v>
      </x:c>
      <x:c r="F17" s="9" t="str">
        <x:v>独立叠加层，不依赖新动作</x:v>
      </x:c>
      <x:c r="G17" s="9" t="str">
        <x:v>不遮挡聊天/培育提示，不控制角色位置</x:v>
      </x:c>
      <x:c r="H17" s="9" t="str">
        <x:v>减少动态效果：静态框/短淡入；允许只看自己</x:v>
      </x:c>
      <x:c r="I17" s="9" t="str">
        <x:v>客户端资源清单签名＋装备ID由服务端验证</x:v>
      </x:c>
      <x:c r="J17" s="9" t="str">
        <x:v>待开发</x:v>
      </x:c>
    </x:row>
    <x:row r="18" ht="48" customHeight="1">
      <x:c r="A18" s="10" t="str">
        <x:v>入场动画</x:v>
      </x:c>
      <x:c r="B18" s="10" t="str">
        <x:v>表情包</x:v>
      </x:c>
      <x:c r="C18" s="10" t="str">
        <x:v>场景入场点</x:v>
      </x:c>
      <x:c r="D18" s="10" t="str">
        <x:v>成功进入房间且资产验证后播放一次</x:v>
      </x:c>
      <x:c r="E18" s="10" t="str">
        <x:v>2秒，个人同房10分钟冷却</x:v>
      </x:c>
      <x:c r="F18" s="10" t="str">
        <x:v>独立叠加层，不依赖新动作</x:v>
      </x:c>
      <x:c r="G18" s="10" t="str">
        <x:v>不遮挡聊天/培育提示，不控制角色位置</x:v>
      </x:c>
      <x:c r="H18" s="10" t="str">
        <x:v>减少动态效果：静态框/短淡入；允许只看自己</x:v>
      </x:c>
      <x:c r="I18" s="10" t="str">
        <x:v>客户端资源清单签名＋装备ID由服务端验证</x:v>
      </x:c>
      <x:c r="J18" s="10" t="str">
        <x:v>待开发</x:v>
      </x:c>
    </x:row>
    <x:row r="19" ht="48" customHeight="1">
      <x:c r="A19" s="9" t="str">
        <x:v>残影</x:v>
      </x:c>
      <x:c r="B19" s="9" t="str">
        <x:v>Spine</x:v>
      </x:c>
      <x:c r="C19" s="9" t="str">
        <x:v>角色可见轮廓</x:v>
      </x:c>
      <x:c r="D19" s="9" t="str">
        <x:v>角色移动时采样，静止不产生</x:v>
      </x:c>
      <x:c r="E19" s="9" t="str">
        <x:v>6帧/秒，寿命0.5秒，上限3层</x:v>
      </x:c>
      <x:c r="F19" s="9" t="str">
        <x:v>挂点优先，缺挂点用可见包围盒</x:v>
      </x:c>
      <x:c r="G19" s="9" t="str">
        <x:v>不改角色命中框，不抢鼠标</x:v>
      </x:c>
      <x:c r="H19" s="9" t="str">
        <x:v>减少动态效果：静态框/短淡入；允许只看自己</x:v>
      </x:c>
      <x:c r="I19" s="9" t="str">
        <x:v>客户端资源清单签名＋装备ID由服务端验证</x:v>
      </x:c>
      <x:c r="J19" s="9" t="str">
        <x:v>待开发</x:v>
      </x:c>
    </x:row>
    <x:row r="20" ht="48" customHeight="1">
      <x:c r="A20" s="10" t="str">
        <x:v>残影</x:v>
      </x:c>
      <x:c r="B20" s="10" t="str">
        <x:v>视频</x:v>
      </x:c>
      <x:c r="C20" s="10" t="str">
        <x:v>角色可见轮廓</x:v>
      </x:c>
      <x:c r="D20" s="10" t="str">
        <x:v>角色移动时采样，静止不产生</x:v>
      </x:c>
      <x:c r="E20" s="10" t="str">
        <x:v>6帧/秒，寿命0.5秒，上限3层</x:v>
      </x:c>
      <x:c r="F20" s="10" t="str">
        <x:v>预渲染轮廓纹理或当前透明帧；失败用光点</x:v>
      </x:c>
      <x:c r="G20" s="10" t="str">
        <x:v>不改角色命中框，不抢鼠标</x:v>
      </x:c>
      <x:c r="H20" s="10" t="str">
        <x:v>减少动态效果：静态框/短淡入；允许只看自己</x:v>
      </x:c>
      <x:c r="I20" s="10" t="str">
        <x:v>客户端资源清单签名＋装备ID由服务端验证</x:v>
      </x:c>
      <x:c r="J20" s="10" t="str">
        <x:v>待开发</x:v>
      </x:c>
    </x:row>
    <x:row r="21" ht="48" customHeight="1">
      <x:c r="A21" s="9" t="str">
        <x:v>残影</x:v>
      </x:c>
      <x:c r="B21" s="9" t="str">
        <x:v>表情包</x:v>
      </x:c>
      <x:c r="C21" s="9" t="str">
        <x:v>角色可见轮廓</x:v>
      </x:c>
      <x:c r="D21" s="9" t="str">
        <x:v>角色移动时采样，静止不产生</x:v>
      </x:c>
      <x:c r="E21" s="9" t="str">
        <x:v>6帧/秒，寿命0.5秒，上限3层</x:v>
      </x:c>
      <x:c r="F21" s="9" t="str">
        <x:v>独立叠加层，不依赖新动作</x:v>
      </x:c>
      <x:c r="G21" s="9" t="str">
        <x:v>不改角色命中框，不抢鼠标</x:v>
      </x:c>
      <x:c r="H21" s="9" t="str">
        <x:v>减少动态效果：静态框/短淡入；允许只看自己</x:v>
      </x:c>
      <x:c r="I21" s="9" t="str">
        <x:v>客户端资源清单签名＋装备ID由服务端验证</x:v>
      </x:c>
      <x:c r="J21" s="9" t="str">
        <x:v>待开发</x:v>
      </x:c>
    </x:row>
  </x:sheetData>
  <x:pageMargins left="0.7" right="0.7" top="0.75" bottom="0.75" header="0.3" footer="0.3"/>
  <x:tableParts count="1">
    <x:tablePart xmlns:r="http://schemas.openxmlformats.org/officeDocument/2006/relationships" r:id="Rb9215da76dfd4e3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25" hidden="0" customWidth="1"/>
    <x:col min="4" max="4" width="18" hidden="0" customWidth="1"/>
    <x:col min="5" max="5" width="13" hidden="0" customWidth="1"/>
    <x:col min="6" max="6" width="18" hidden="0" customWidth="1"/>
    <x:col min="7" max="7" width="20" hidden="0" customWidth="1"/>
    <x:col min="8" max="8" width="18" hidden="0" customWidth="1"/>
    <x:col min="9" max="9" width="43" hidden="0" customWidth="1"/>
    <x:col min="10" max="10" width="79" hidden="0" customWidth="1"/>
    <x:col min="11" max="11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奖池规则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4" customHeight="1">
      <x:c r="A6" s="8" t="str">
        <x:v>奖池ID</x:v>
      </x:c>
      <x:c r="B6" s="8" t="str">
        <x:v>名称</x:v>
      </x:c>
      <x:c r="C6" s="8" t="str">
        <x:v>支付资产</x:v>
      </x:c>
      <x:c r="D6" s="8" t="str">
        <x:v>单抽成本</x:v>
      </x:c>
      <x:c r="E6" s="8" t="str">
        <x:v>档位</x:v>
      </x:c>
      <x:c r="F6" s="8" t="str">
        <x:v>基础概率</x:v>
      </x:c>
      <x:c r="G6" s="8" t="str">
        <x:v>SR以上保底</x:v>
      </x:c>
      <x:c r="H6" s="8" t="str">
        <x:v>SSR保底</x:v>
      </x:c>
      <x:c r="I6" s="8" t="str">
        <x:v>投放内容</x:v>
      </x:c>
      <x:c r="J6" s="8" t="str">
        <x:v>规则</x:v>
      </x:c>
      <x:c r="K6" s="8" t="str">
        <x:v>重复与补偿</x:v>
      </x:c>
    </x:row>
    <x:row r="7" ht="48" customHeight="1">
      <x:c r="A7" s="9" t="str">
        <x:v>POOL_SUPPLY</x:v>
      </x:c>
      <x:c r="B7" s="9" t="str">
        <x:v>花园补给池</x:v>
      </x:c>
      <x:c r="C7" s="9" t="str">
        <x:v>花园币/补给券</x:v>
      </x:c>
      <x:c r="D7" s="9" t="n">
        <x:v>300</x:v>
      </x:c>
      <x:c r="E7" s="9" t="str">
        <x:v>R</x:v>
      </x:c>
      <x:c r="F7" s="19" t="n">
        <x:v>0.7</x:v>
      </x:c>
      <x:c r="G7" s="9" t="n">
        <x:v>10</x:v>
      </x:c>
      <x:c r="H7" s="9" t="n">
        <x:v>20</x:v>
      </x:c>
      <x:c r="I7" s="9" t="str">
        <x:v>普通种子、肥料、基础家具</x:v>
      </x:c>
      <x:c r="J7" s="9" t="str">
        <x:v>免费稳定供给，金色门槛保留</x:v>
      </x:c>
      <x:c r="K7" s="9" t="str">
        <x:v>不产兑换碎片</x:v>
      </x:c>
    </x:row>
    <x:row r="8" ht="48" customHeight="1">
      <x:c r="A8" s="10" t="str">
        <x:v>POOL_SUPPLY</x:v>
      </x:c>
      <x:c r="B8" s="10" t="str">
        <x:v>花园补给池</x:v>
      </x:c>
      <x:c r="C8" s="10" t="str">
        <x:v>花园币/补给券</x:v>
      </x:c>
      <x:c r="D8" s="10" t="n">
        <x:v>300</x:v>
      </x:c>
      <x:c r="E8" s="10" t="str">
        <x:v>SR</x:v>
      </x:c>
      <x:c r="F8" s="20" t="n">
        <x:v>0.25</x:v>
      </x:c>
      <x:c r="G8" s="10" t="n">
        <x:v>10</x:v>
      </x:c>
      <x:c r="H8" s="10" t="n">
        <x:v>20</x:v>
      </x:c>
      <x:c r="I8" s="10" t="str">
        <x:v>高级补给、家具</x:v>
      </x:c>
      <x:c r="J8" s="10" t="str">
        <x:v>金币每天最多3抽，券不占次数</x:v>
      </x:c>
      <x:c r="K8" s="10" t="str">
        <x:v>先记账后演出</x:v>
      </x:c>
    </x:row>
    <x:row r="9" ht="48" customHeight="1">
      <x:c r="A9" s="9" t="str">
        <x:v>POOL_SUPPLY</x:v>
      </x:c>
      <x:c r="B9" s="9" t="str">
        <x:v>花园补给池</x:v>
      </x:c>
      <x:c r="C9" s="9" t="str">
        <x:v>花园币/补给券</x:v>
      </x:c>
      <x:c r="D9" s="9" t="n">
        <x:v>300</x:v>
      </x:c>
      <x:c r="E9" s="9" t="str">
        <x:v>SSR</x:v>
      </x:c>
      <x:c r="F9" s="19" t="n">
        <x:v>0.05</x:v>
      </x:c>
      <x:c r="G9" s="9" t="n">
        <x:v>10</x:v>
      </x:c>
      <x:c r="H9" s="9" t="n">
        <x:v>20</x:v>
      </x:c>
      <x:c r="I9" s="9" t="str">
        <x:v>稀有家具</x:v>
      </x:c>
      <x:c r="J9" s="9" t="str">
        <x:v>20抽硬保底；非付费外观池</x:v>
      </x:c>
      <x:c r="K9" s="9" t="str">
        <x:v>第3件起返金币</x:v>
      </x:c>
    </x:row>
    <x:row r="10" ht="48" customHeight="1">
      <x:c r="A10" s="10" t="str">
        <x:v>POOL_STYLE</x:v>
      </x:c>
      <x:c r="B10" s="10" t="str">
        <x:v>星愿混合池</x:v>
      </x:c>
      <x:c r="C10" s="10" t="str">
        <x:v>星晶/珍藏券</x:v>
      </x:c>
      <x:c r="D10" s="10" t="n">
        <x:v>60</x:v>
      </x:c>
      <x:c r="E10" s="10" t="str">
        <x:v>R</x:v>
      </x:c>
      <x:c r="F10" s="20" t="n">
        <x:f>1-'参数'!$D$74-'参数'!$D$75</x:f>
        <x:v>0.8</x:v>
      </x:c>
      <x:c r="G10" s="10" t="n">
        <x:f>'参数'!$D$77</x:f>
        <x:v>10</x:v>
      </x:c>
      <x:c r="H10" s="10" t="n">
        <x:f>'参数'!$D$76</x:f>
        <x:v>60</x:v>
      </x:c>
      <x:c r="I10" s="10" t="str">
        <x:v>种子、初级肥、普通精油、旅行券</x:v>
      </x:c>
      <x:c r="J10" s="10" t="str">
        <x:v>每抽固定2星屑；材料必须有常用消耗</x:v>
      </x:c>
      <x:c r="K10" s="10" t="str">
        <x:v>10抽SR以上；SSR同时重置两个计数</x:v>
      </x:c>
    </x:row>
    <x:row r="11" ht="48" customHeight="1">
      <x:c r="A11" s="9" t="str">
        <x:v>POOL_STYLE</x:v>
      </x:c>
      <x:c r="B11" s="9" t="str">
        <x:v>星愿混合池</x:v>
      </x:c>
      <x:c r="C11" s="9" t="str">
        <x:v>星晶/珍藏券</x:v>
      </x:c>
      <x:c r="D11" s="9" t="n">
        <x:v>60</x:v>
      </x:c>
      <x:c r="E11" s="9" t="str">
        <x:v>SR</x:v>
      </x:c>
      <x:c r="F11" s="19" t="n">
        <x:f>'参数'!$D$74</x:f>
        <x:v>0.18</x:v>
      </x:c>
      <x:c r="G11" s="9" t="n">
        <x:f>'参数'!$D$77</x:f>
        <x:v>10</x:v>
      </x:c>
      <x:c r="H11" s="9" t="n">
        <x:f>'参数'!$D$76</x:f>
        <x:v>60</x:v>
      </x:c>
      <x:c r="I11" s="9" t="str">
        <x:v>高级肥、家具、步生花脚印</x:v>
      </x:c>
      <x:c r="J11" s="9" t="str">
        <x:v>第10抽未出SR+则SR/SSR按18:2抽；不改变SSR计数</x:v>
      </x:c>
      <x:c r="K11" s="9" t="str">
        <x:v>重复外观额外20星屑；非重复仍固定2</x:v>
      </x:c>
    </x:row>
    <x:row r="12" ht="48" customHeight="1">
      <x:c r="A12" s="10" t="str">
        <x:v>POOL_STYLE</x:v>
      </x:c>
      <x:c r="B12" s="10" t="str">
        <x:v>星愿混合池</x:v>
      </x:c>
      <x:c r="C12" s="10" t="str">
        <x:v>星晶/珍藏券</x:v>
      </x:c>
      <x:c r="D12" s="10" t="n">
        <x:v>60</x:v>
      </x:c>
      <x:c r="E12" s="10" t="str">
        <x:v>SSR</x:v>
      </x:c>
      <x:c r="F12" s="20" t="n">
        <x:f>'参数'!$D$75</x:f>
        <x:v>0.02</x:v>
      </x:c>
      <x:c r="G12" s="10" t="n">
        <x:f>'参数'!$D$77</x:f>
        <x:v>10</x:v>
      </x:c>
      <x:c r="H12" s="10" t="n">
        <x:f>'参数'!$D$76</x:f>
        <x:v>60</x:v>
      </x:c>
      <x:c r="I12" s="10" t="str">
        <x:v>月蚀来访／苍蓝幽焰</x:v>
      </x:c>
      <x:c r="J12" s="10" t="str">
        <x:v>第60抽未出SSR必出；两个SSR等权；先执行SSR保底</x:v>
      </x:c>
      <x:c r="K12" s="10" t="str">
        <x:v>重复额外40星屑；160星屑指定任意SSR</x:v>
      </x:c>
    </x:row>
    <x:row r="13" ht="48" customHeight="1">
      <x:c r="A13" s="9" t="str">
        <x:v>POOL_SEASON</x:v>
      </x:c>
      <x:c r="B13" s="9" t="str">
        <x:v>活动混合池（待启用）</x:v>
      </x:c>
      <x:c r="C13" s="9" t="str">
        <x:v>星晶/专用券</x:v>
      </x:c>
      <x:c r="D13" s="9" t="n">
        <x:v>60</x:v>
      </x:c>
      <x:c r="E13" s="9" t="str">
        <x:v>R</x:v>
      </x:c>
      <x:c r="F13" s="19" t="n">
        <x:f>1-'参数'!$D$74-'参数'!$D$75</x:f>
        <x:v>0.8</x:v>
      </x:c>
      <x:c r="G13" s="9" t="n">
        <x:f>'参数'!$D$77</x:f>
        <x:v>10</x:v>
      </x:c>
      <x:c r="H13" s="9" t="n">
        <x:f>'参数'!$D$76</x:f>
        <x:v>60</x:v>
      </x:c>
      <x:c r="I13" s="9" t="str">
        <x:v>同类常用材料</x:v>
      </x:c>
      <x:c r="J13" s="9" t="str">
        <x:v>不另起空池；替换本期展示大奖而保留材料</x:v>
      </x:c>
      <x:c r="K13" s="9" t="str">
        <x:v>计数在同类活动池跨期保留</x:v>
      </x:c>
    </x:row>
    <x:row r="14" ht="48" customHeight="1">
      <x:c r="A14" s="10" t="str">
        <x:v>POOL_SEASON</x:v>
      </x:c>
      <x:c r="B14" s="10" t="str">
        <x:v>活动混合池（待启用）</x:v>
      </x:c>
      <x:c r="C14" s="10" t="str">
        <x:v>星晶/专用券</x:v>
      </x:c>
      <x:c r="D14" s="10" t="n">
        <x:v>60</x:v>
      </x:c>
      <x:c r="E14" s="10" t="str">
        <x:v>SR</x:v>
      </x:c>
      <x:c r="F14" s="20" t="n">
        <x:f>'参数'!$D$74</x:f>
        <x:v>0.18</x:v>
      </x:c>
      <x:c r="G14" s="10" t="n">
        <x:f>'参数'!$D$77</x:f>
        <x:v>10</x:v>
      </x:c>
      <x:c r="H14" s="10" t="n">
        <x:f>'参数'!$D$76</x:f>
        <x:v>60</x:v>
      </x:c>
      <x:c r="I14" s="10" t="str">
        <x:v>高级材料/家具/单件脚印</x:v>
      </x:c>
      <x:c r="J14" s="10" t="str">
        <x:v>素材齐备才启用；不要求制作三整套外观</x:v>
      </x:c>
      <x:c r="K14" s="10" t="str">
        <x:v>与常驻池独立保底，共用永久星屑</x:v>
      </x:c>
    </x:row>
    <x:row r="15" ht="48" customHeight="1">
      <x:c r="A15" s="9" t="str">
        <x:v>POOL_SEASON</x:v>
      </x:c>
      <x:c r="B15" s="9" t="str">
        <x:v>活动混合池（待启用）</x:v>
      </x:c>
      <x:c r="C15" s="9" t="str">
        <x:v>星晶/专用券</x:v>
      </x:c>
      <x:c r="D15" s="9" t="n">
        <x:v>60</x:v>
      </x:c>
      <x:c r="E15" s="9" t="str">
        <x:v>SSR</x:v>
      </x:c>
      <x:c r="F15" s="19" t="n">
        <x:f>'参数'!$D$75</x:f>
        <x:v>0.02</x:v>
      </x:c>
      <x:c r="G15" s="9" t="n">
        <x:f>'参数'!$D$77</x:f>
        <x:v>10</x:v>
      </x:c>
      <x:c r="H15" s="9" t="n">
        <x:f>'参数'!$D$76</x:f>
        <x:v>60</x:v>
      </x:c>
      <x:c r="I15" s="9" t="str">
        <x:v>1—2件本期外观大奖</x:v>
      </x:c>
      <x:c r="J15" s="9" t="str">
        <x:v>当期就可指定兑换；下架后保留兑换且展示复刻排期</x:v>
      </x:c>
      <x:c r="K15" s="9" t="str">
        <x:v>碎片不过期；兑换不重置抽取计数</x:v>
      </x:c>
    </x:row>
  </x:sheetData>
  <x:pageMargins left="0.7" right="0.7" top="0.75" bottom="0.75" header="0.3" footer="0.3"/>
  <x:tableParts count="1">
    <x:tablePart xmlns:r="http://schemas.openxmlformats.org/officeDocument/2006/relationships" r:id="Rc01fa3d0333a479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25" hidden="0" customWidth="1"/>
    <x:col min="5" max="5" width="15" hidden="0" customWidth="1"/>
    <x:col min="6" max="6" width="13" hidden="0" customWidth="1"/>
    <x:col min="7" max="7" width="12" hidden="0" customWidth="1"/>
    <x:col min="8" max="8" width="18" hidden="0" customWidth="1"/>
    <x:col min="9" max="9" width="18" hidden="0" customWidth="1"/>
    <x:col min="10" max="10" width="22" hidden="0" customWidth="1"/>
    <x:col min="11" max="11" width="62" hidden="0" customWidth="1"/>
    <x:col min="12" max="12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奖池条目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8" t="str">
        <x:v>奖池ID</x:v>
      </x:c>
      <x:c r="B6" s="8" t="str">
        <x:v>主题组ID</x:v>
      </x:c>
      <x:c r="C6" s="8" t="str">
        <x:v>奖励ID</x:v>
      </x:c>
      <x:c r="D6" s="8" t="str">
        <x:v>名称</x:v>
      </x:c>
      <x:c r="E6" s="8" t="str">
        <x:v>类别</x:v>
      </x:c>
      <x:c r="F6" s="8" t="str">
        <x:v>档位</x:v>
      </x:c>
      <x:c r="G6" s="8" t="str">
        <x:v>数量</x:v>
      </x:c>
      <x:c r="H6" s="8" t="str">
        <x:v>档内权重</x:v>
      </x:c>
      <x:c r="I6" s="8" t="str">
        <x:v>档内概率</x:v>
      </x:c>
      <x:c r="J6" s="8" t="str">
        <x:v>基础单项概率</x:v>
      </x:c>
      <x:c r="K6" s="8" t="str">
        <x:v>重复/成长规则</x:v>
      </x:c>
      <x:c r="L6" s="8" t="str">
        <x:v>批次</x:v>
      </x:c>
    </x:row>
    <x:row r="7" ht="48" customHeight="1">
      <x:c r="A7" s="9" t="str">
        <x:v>POOL_STYLE</x:v>
      </x:c>
      <x:c r="B7" s="9" t="str">
        <x:v>STYLE_MAIN</x:v>
      </x:c>
      <x:c r="C7" s="9" t="str">
        <x:v>COS_07_3</x:v>
      </x:c>
      <x:c r="D7" s="9" t="str">
        <x:v>步生花</x:v>
      </x:c>
      <x:c r="E7" s="9" t="str">
        <x:v>外观</x:v>
      </x:c>
      <x:c r="F7" s="9" t="str">
        <x:v>SR</x:v>
      </x:c>
      <x:c r="G7" s="9" t="n">
        <x:v>1</x:v>
      </x:c>
      <x:c r="H7" s="9" t="n">
        <x:v>10</x:v>
      </x:c>
      <x:c r="I7" s="21" t="n">
        <x:f>H7/SUMIFS($H$7:$H$49,$A$7:$A$49,A7,$B$7:$B$49,B7,$F$7:$F$49,F7)</x:f>
        <x:v>0.1</x:v>
      </x:c>
      <x:c r="J7" s="21" t="n">
        <x:f>I7*SUMIFS('奖池规则'!$F$7:$F$15,'奖池规则'!$A$7:$A$15,A7,'奖池规则'!$E$7:$E$15,F7)</x:f>
        <x:v>0.018</x:v>
      </x:c>
      <x:c r="K7" s="9" t="str">
        <x:v>每抽2碎片，重复另加SR20/SSR40</x:v>
      </x:c>
      <x:c r="L7" s="9" t="str">
        <x:v>首发</x:v>
      </x:c>
    </x:row>
    <x:row r="8" ht="48" customHeight="1">
      <x:c r="A8" s="10" t="str">
        <x:v>POOL_STYLE</x:v>
      </x:c>
      <x:c r="B8" s="10" t="str">
        <x:v>STYLE_MAIN</x:v>
      </x:c>
      <x:c r="C8" s="10" t="str">
        <x:v>COS_07_4</x:v>
      </x:c>
      <x:c r="D8" s="10" t="str">
        <x:v>月蚀来访</x:v>
      </x:c>
      <x:c r="E8" s="10" t="str">
        <x:v>外观</x:v>
      </x:c>
      <x:c r="F8" s="10" t="str">
        <x:v>SSR</x:v>
      </x:c>
      <x:c r="G8" s="10" t="n">
        <x:v>1</x:v>
      </x:c>
      <x:c r="H8" s="10" t="n">
        <x:v>1</x:v>
      </x:c>
      <x:c r="I8" s="22" t="n">
        <x:f>H8/SUMIFS($H$7:$H$49,$A$7:$A$49,A8,$B$7:$B$49,B8,$F$7:$F$49,F8)</x:f>
        <x:v>0.5</x:v>
      </x:c>
      <x:c r="J8" s="22" t="n">
        <x:f>I8*SUMIFS('奖池规则'!$F$7:$F$15,'奖池规则'!$A$7:$A$15,A8,'奖池规则'!$E$7:$E$15,F8)</x:f>
        <x:v>0.01</x:v>
      </x:c>
      <x:c r="K8" s="10" t="str">
        <x:v>每抽2碎片，重复另加SR20/SSR40</x:v>
      </x:c>
      <x:c r="L8" s="10" t="str">
        <x:v>首发</x:v>
      </x:c>
    </x:row>
    <x:row r="9" ht="48" customHeight="1">
      <x:c r="A9" s="9" t="str">
        <x:v>POOL_STYLE</x:v>
      </x:c>
      <x:c r="B9" s="9" t="str">
        <x:v>STYLE_MAIN</x:v>
      </x:c>
      <x:c r="C9" s="9" t="str">
        <x:v>COS_07_5</x:v>
      </x:c>
      <x:c r="D9" s="9" t="str">
        <x:v>苍蓝幽焰</x:v>
      </x:c>
      <x:c r="E9" s="9" t="str">
        <x:v>外观</x:v>
      </x:c>
      <x:c r="F9" s="9" t="str">
        <x:v>SSR</x:v>
      </x:c>
      <x:c r="G9" s="9" t="n">
        <x:v>1</x:v>
      </x:c>
      <x:c r="H9" s="9" t="n">
        <x:v>1</x:v>
      </x:c>
      <x:c r="I9" s="21" t="n">
        <x:f>H9/SUMIFS($H$7:$H$49,$A$7:$A$49,A9,$B$7:$B$49,B9,$F$7:$F$49,F9)</x:f>
        <x:v>0.5</x:v>
      </x:c>
      <x:c r="J9" s="21" t="n">
        <x:f>I9*SUMIFS('奖池规则'!$F$7:$F$15,'奖池规则'!$A$7:$A$15,A9,'奖池规则'!$E$7:$E$15,F9)</x:f>
        <x:v>0.01</x:v>
      </x:c>
      <x:c r="K9" s="9" t="str">
        <x:v>每抽2碎片，重复另加SR20/SSR40</x:v>
      </x:c>
      <x:c r="L9" s="9" t="str">
        <x:v>首发</x:v>
      </x:c>
    </x:row>
    <x:row r="10" ht="48" customHeight="1">
      <x:c r="A10" s="10" t="str">
        <x:v>POOL_STYLE</x:v>
      </x:c>
      <x:c r="B10" s="10" t="str">
        <x:v>STYLE_MAIN</x:v>
      </x:c>
      <x:c r="C10" s="10" t="str">
        <x:v>SEED_STRAW</x:v>
      </x:c>
      <x:c r="D10" s="10" t="str">
        <x:v>草莓种子</x:v>
      </x:c>
      <x:c r="E10" s="10" t="str">
        <x:v>成长材料</x:v>
      </x:c>
      <x:c r="F10" s="10" t="str">
        <x:v>R</x:v>
      </x:c>
      <x:c r="G10" s="10" t="n">
        <x:v>5</x:v>
      </x:c>
      <x:c r="H10" s="10" t="n">
        <x:v>20</x:v>
      </x:c>
      <x:c r="I10" s="22" t="n">
        <x:f>H10/SUMIFS($H$7:$H$49,$A$7:$A$49,A10,$B$7:$B$49,B10,$F$7:$F$49,F10)</x:f>
        <x:v>0.2</x:v>
      </x:c>
      <x:c r="J10" s="22" t="n">
        <x:f>I10*SUMIFS('奖池规则'!$F$7:$F$15,'奖池规则'!$A$7:$A$15,A10,'奖池规则'!$E$7:$E$15,F10)</x:f>
        <x:v>0.16000000000000003</x:v>
      </x:c>
      <x:c r="K10" s="10" t="str">
        <x:v>实际消耗；无确定遗传；每抽固定2碎片</x:v>
      </x:c>
      <x:c r="L10" s="10" t="str">
        <x:v>首发</x:v>
      </x:c>
    </x:row>
    <x:row r="11" ht="48" customHeight="1">
      <x:c r="A11" s="9" t="str">
        <x:v>POOL_STYLE</x:v>
      </x:c>
      <x:c r="B11" s="9" t="str">
        <x:v>STYLE_MAIN</x:v>
      </x:c>
      <x:c r="C11" s="9" t="str">
        <x:v>SEED_TULIP</x:v>
      </x:c>
      <x:c r="D11" s="9" t="str">
        <x:v>郁金香种子</x:v>
      </x:c>
      <x:c r="E11" s="9" t="str">
        <x:v>成长材料</x:v>
      </x:c>
      <x:c r="F11" s="9" t="str">
        <x:v>R</x:v>
      </x:c>
      <x:c r="G11" s="9" t="n">
        <x:v>4</x:v>
      </x:c>
      <x:c r="H11" s="9" t="n">
        <x:v>15</x:v>
      </x:c>
      <x:c r="I11" s="21" t="n">
        <x:f>H11/SUMIFS($H$7:$H$49,$A$7:$A$49,A11,$B$7:$B$49,B11,$F$7:$F$49,F11)</x:f>
        <x:v>0.15</x:v>
      </x:c>
      <x:c r="J11" s="21" t="n">
        <x:f>I11*SUMIFS('奖池规则'!$F$7:$F$15,'奖池规则'!$A$7:$A$15,A11,'奖池规则'!$E$7:$E$15,F11)</x:f>
        <x:v>0.12</x:v>
      </x:c>
      <x:c r="K11" s="9" t="str">
        <x:v>实际消耗；无确定遗传；每抽固定2碎片</x:v>
      </x:c>
      <x:c r="L11" s="9" t="str">
        <x:v>首发</x:v>
      </x:c>
    </x:row>
    <x:row r="12" ht="48" customHeight="1">
      <x:c r="A12" s="10" t="str">
        <x:v>POOL_STYLE</x:v>
      </x:c>
      <x:c r="B12" s="10" t="str">
        <x:v>STYLE_MAIN</x:v>
      </x:c>
      <x:c r="C12" s="10" t="str">
        <x:v>FERT_TIME30</x:v>
      </x:c>
      <x:c r="D12" s="10" t="str">
        <x:v>30分钟加速肥</x:v>
      </x:c>
      <x:c r="E12" s="10" t="str">
        <x:v>成长材料</x:v>
      </x:c>
      <x:c r="F12" s="10" t="str">
        <x:v>R</x:v>
      </x:c>
      <x:c r="G12" s="10" t="n">
        <x:v>2</x:v>
      </x:c>
      <x:c r="H12" s="10" t="n">
        <x:v>30</x:v>
      </x:c>
      <x:c r="I12" s="22" t="n">
        <x:f>H12/SUMIFS($H$7:$H$49,$A$7:$A$49,A12,$B$7:$B$49,B12,$F$7:$F$49,F12)</x:f>
        <x:v>0.3</x:v>
      </x:c>
      <x:c r="J12" s="22" t="n">
        <x:f>I12*SUMIFS('奖池规则'!$F$7:$F$15,'奖池规则'!$A$7:$A$15,A12,'奖池规则'!$E$7:$E$15,F12)</x:f>
        <x:v>0.24</x:v>
      </x:c>
      <x:c r="K12" s="10" t="str">
        <x:v>实际消耗；无确定遗传；每抽固定2碎片</x:v>
      </x:c>
      <x:c r="L12" s="10" t="str">
        <x:v>首发</x:v>
      </x:c>
    </x:row>
    <x:row r="13" ht="48" customHeight="1">
      <x:c r="A13" s="9" t="str">
        <x:v>POOL_STYLE</x:v>
      </x:c>
      <x:c r="B13" s="9" t="str">
        <x:v>STYLE_MAIN</x:v>
      </x:c>
      <x:c r="C13" s="9" t="str">
        <x:v>OIL_NORMAL</x:v>
      </x:c>
      <x:c r="D13" s="9" t="str">
        <x:v>普通精油</x:v>
      </x:c>
      <x:c r="E13" s="9" t="str">
        <x:v>成长材料</x:v>
      </x:c>
      <x:c r="F13" s="9" t="str">
        <x:v>R</x:v>
      </x:c>
      <x:c r="G13" s="9" t="n">
        <x:v>2</x:v>
      </x:c>
      <x:c r="H13" s="9" t="n">
        <x:v>20</x:v>
      </x:c>
      <x:c r="I13" s="21" t="n">
        <x:f>H13/SUMIFS($H$7:$H$49,$A$7:$A$49,A13,$B$7:$B$49,B13,$F$7:$F$49,F13)</x:f>
        <x:v>0.2</x:v>
      </x:c>
      <x:c r="J13" s="21" t="n">
        <x:f>I13*SUMIFS('奖池规则'!$F$7:$F$15,'奖池规则'!$A$7:$A$15,A13,'奖池规则'!$E$7:$E$15,F13)</x:f>
        <x:v>0.16000000000000003</x:v>
      </x:c>
      <x:c r="K13" s="9" t="str">
        <x:v>实际消耗；无确定遗传；每抽固定2碎片</x:v>
      </x:c>
      <x:c r="L13" s="9" t="str">
        <x:v>首发</x:v>
      </x:c>
    </x:row>
    <x:row r="14" ht="48" customHeight="1">
      <x:c r="A14" s="10" t="str">
        <x:v>POOL_STYLE</x:v>
      </x:c>
      <x:c r="B14" s="10" t="str">
        <x:v>STYLE_MAIN</x:v>
      </x:c>
      <x:c r="C14" s="10" t="str">
        <x:v>TRAVEL_HOUR</x:v>
      </x:c>
      <x:c r="D14" s="10" t="str">
        <x:v>1小时旅行券</x:v>
      </x:c>
      <x:c r="E14" s="10" t="str">
        <x:v>成长材料</x:v>
      </x:c>
      <x:c r="F14" s="10" t="str">
        <x:v>R</x:v>
      </x:c>
      <x:c r="G14" s="10" t="n">
        <x:v>1</x:v>
      </x:c>
      <x:c r="H14" s="10" t="n">
        <x:v>15</x:v>
      </x:c>
      <x:c r="I14" s="22" t="n">
        <x:f>H14/SUMIFS($H$7:$H$49,$A$7:$A$49,A14,$B$7:$B$49,B14,$F$7:$F$49,F14)</x:f>
        <x:v>0.15</x:v>
      </x:c>
      <x:c r="J14" s="22" t="n">
        <x:f>I14*SUMIFS('奖池规则'!$F$7:$F$15,'奖池规则'!$A$7:$A$15,A14,'奖池规则'!$E$7:$E$15,F14)</x:f>
        <x:v>0.12</x:v>
      </x:c>
      <x:c r="K14" s="10" t="str">
        <x:v>实际消耗；无确定遗传；每抽固定2碎片</x:v>
      </x:c>
      <x:c r="L14" s="10" t="str">
        <x:v>首发</x:v>
      </x:c>
    </x:row>
    <x:row r="15" ht="48" customHeight="1">
      <x:c r="A15" s="9" t="str">
        <x:v>POOL_STYLE</x:v>
      </x:c>
      <x:c r="B15" s="9" t="str">
        <x:v>STYLE_MAIN</x:v>
      </x:c>
      <x:c r="C15" s="9" t="str">
        <x:v>FERT_TIME180</x:v>
      </x:c>
      <x:c r="D15" s="9" t="str">
        <x:v>3小时加速肥</x:v>
      </x:c>
      <x:c r="E15" s="9" t="str">
        <x:v>成长材料</x:v>
      </x:c>
      <x:c r="F15" s="9" t="str">
        <x:v>SR</x:v>
      </x:c>
      <x:c r="G15" s="9" t="n">
        <x:v>2</x:v>
      </x:c>
      <x:c r="H15" s="9" t="n">
        <x:v>40</x:v>
      </x:c>
      <x:c r="I15" s="21" t="n">
        <x:f>H15/SUMIFS($H$7:$H$49,$A$7:$A$49,A15,$B$7:$B$49,B15,$F$7:$F$49,F15)</x:f>
        <x:v>0.4</x:v>
      </x:c>
      <x:c r="J15" s="21" t="n">
        <x:f>I15*SUMIFS('奖池规则'!$F$7:$F$15,'奖池规则'!$A$7:$A$15,A15,'奖池规则'!$E$7:$E$15,F15)</x:f>
        <x:v>0.072</x:v>
      </x:c>
      <x:c r="K15" s="9" t="str">
        <x:v>实际消耗；无确定遗传；每抽固定2碎片</x:v>
      </x:c>
      <x:c r="L15" s="9" t="str">
        <x:v>首发</x:v>
      </x:c>
    </x:row>
    <x:row r="16" ht="48" customHeight="1">
      <x:c r="A16" s="10" t="str">
        <x:v>POOL_STYLE</x:v>
      </x:c>
      <x:c r="B16" s="10" t="str">
        <x:v>STYLE_MAIN</x:v>
      </x:c>
      <x:c r="C16" s="10" t="str">
        <x:v>OIL_NORMAL</x:v>
      </x:c>
      <x:c r="D16" s="10" t="str">
        <x:v>普通精油</x:v>
      </x:c>
      <x:c r="E16" s="10" t="str">
        <x:v>成长材料</x:v>
      </x:c>
      <x:c r="F16" s="10" t="str">
        <x:v>SR</x:v>
      </x:c>
      <x:c r="G16" s="10" t="n">
        <x:v>6</x:v>
      </x:c>
      <x:c r="H16" s="10" t="n">
        <x:v>20</x:v>
      </x:c>
      <x:c r="I16" s="22" t="n">
        <x:f>H16/SUMIFS($H$7:$H$49,$A$7:$A$49,A16,$B$7:$B$49,B16,$F$7:$F$49,F16)</x:f>
        <x:v>0.2</x:v>
      </x:c>
      <x:c r="J16" s="22" t="n">
        <x:f>I16*SUMIFS('奖池规则'!$F$7:$F$15,'奖池规则'!$A$7:$A$15,A16,'奖池规则'!$E$7:$E$15,F16)</x:f>
        <x:v>0.036</x:v>
      </x:c>
      <x:c r="K16" s="10" t="str">
        <x:v>实际消耗；无确定遗传；每抽固定2碎片</x:v>
      </x:c>
      <x:c r="L16" s="10" t="str">
        <x:v>首发</x:v>
      </x:c>
    </x:row>
    <x:row r="17" ht="48" customHeight="1">
      <x:c r="A17" s="9" t="str">
        <x:v>POOL_STYLE</x:v>
      </x:c>
      <x:c r="B17" s="9" t="str">
        <x:v>STYLE_MAIN</x:v>
      </x:c>
      <x:c r="C17" s="9" t="str">
        <x:v>potting-shelf</x:v>
      </x:c>
      <x:c r="D17" s="9" t="str">
        <x:v>花匠置物架</x:v>
      </x:c>
      <x:c r="E17" s="9" t="str">
        <x:v>家具</x:v>
      </x:c>
      <x:c r="F17" s="9" t="str">
        <x:v>SR</x:v>
      </x:c>
      <x:c r="G17" s="9" t="n">
        <x:v>1</x:v>
      </x:c>
      <x:c r="H17" s="9" t="n">
        <x:v>15</x:v>
      </x:c>
      <x:c r="I17" s="21" t="n">
        <x:f>H17/SUMIFS($H$7:$H$49,$A$7:$A$49,A17,$B$7:$B$49,B17,$F$7:$F$49,F17)</x:f>
        <x:v>0.15</x:v>
      </x:c>
      <x:c r="J17" s="21" t="n">
        <x:f>I17*SUMIFS('奖池规则'!$F$7:$F$15,'奖池规则'!$A$7:$A$15,A17,'奖池规则'!$E$7:$E$15,F17)</x:f>
        <x:v>0.027</x:v>
      </x:c>
      <x:c r="K17" s="9" t="str">
        <x:v>第3件返120金币；每抽仍得2碎片</x:v>
      </x:c>
      <x:c r="L17" s="9" t="str">
        <x:v>首发</x:v>
      </x:c>
    </x:row>
    <x:row r="18" ht="48" customHeight="1">
      <x:c r="A18" s="10" t="str">
        <x:v>POOL_STYLE</x:v>
      </x:c>
      <x:c r="B18" s="10" t="str">
        <x:v>STYLE_MAIN</x:v>
      </x:c>
      <x:c r="C18" s="10" t="str">
        <x:v>fern-bench</x:v>
      </x:c>
      <x:c r="D18" s="10" t="str">
        <x:v>蕨叶双人椅</x:v>
      </x:c>
      <x:c r="E18" s="10" t="str">
        <x:v>家具</x:v>
      </x:c>
      <x:c r="F18" s="10" t="str">
        <x:v>SR</x:v>
      </x:c>
      <x:c r="G18" s="10" t="n">
        <x:v>1</x:v>
      </x:c>
      <x:c r="H18" s="10" t="n">
        <x:v>15</x:v>
      </x:c>
      <x:c r="I18" s="22" t="n">
        <x:f>H18/SUMIFS($H$7:$H$49,$A$7:$A$49,A18,$B$7:$B$49,B18,$F$7:$F$49,F18)</x:f>
        <x:v>0.15</x:v>
      </x:c>
      <x:c r="J18" s="22" t="n">
        <x:f>I18*SUMIFS('奖池规则'!$F$7:$F$15,'奖池规则'!$A$7:$A$15,A18,'奖池规则'!$E$7:$E$15,F18)</x:f>
        <x:v>0.027</x:v>
      </x:c>
      <x:c r="K18" s="10" t="str">
        <x:v>第3件返120金币；每抽仍得2碎片</x:v>
      </x:c>
      <x:c r="L18" s="10" t="str">
        <x:v>首发</x:v>
      </x:c>
    </x:row>
    <x:row r="19" ht="48" customHeight="1">
      <x:c r="A19" s="9" t="str">
        <x:v>POOL_SUPPLY</x:v>
      </x:c>
      <x:c r="B19" s="9" t="str">
        <x:v>SUPPLY_MAIN</x:v>
      </x:c>
      <x:c r="C19" s="9" t="str">
        <x:v>SEED_STRAW</x:v>
      </x:c>
      <x:c r="D19" s="9" t="str">
        <x:v>草莓种子</x:v>
      </x:c>
      <x:c r="E19" s="9" t="str">
        <x:v>种子</x:v>
      </x:c>
      <x:c r="F19" s="9" t="str">
        <x:v>R</x:v>
      </x:c>
      <x:c r="G19" s="9" t="n">
        <x:v>3</x:v>
      </x:c>
      <x:c r="H19" s="9" t="n">
        <x:v>25</x:v>
      </x:c>
      <x:c r="I19" s="21" t="n">
        <x:f>H19/SUMIFS($H$7:$H$49,$A$7:$A$49,A19,$B$7:$B$49,B19,$F$7:$F$49,F19)</x:f>
        <x:v>0.24999999999999992</x:v>
      </x:c>
      <x:c r="J19" s="21" t="n">
        <x:f>I19*SUMIFS('奖池规则'!$F$7:$F$15,'奖池规则'!$A$7:$A$15,A19,'奖池规则'!$E$7:$E$15,F19)</x:f>
        <x:v>0.17499999999999993</x:v>
      </x:c>
      <x:c r="K19" s="9" t="str">
        <x:v>无遗传因子；免费补给肥沿用现有百分比效果</x:v>
      </x:c>
      <x:c r="L19" s="9" t="str">
        <x:v>首发</x:v>
      </x:c>
    </x:row>
    <x:row r="20" ht="48" customHeight="1">
      <x:c r="A20" s="10" t="str">
        <x:v>POOL_SUPPLY</x:v>
      </x:c>
      <x:c r="B20" s="10" t="str">
        <x:v>SUPPLY_MAIN</x:v>
      </x:c>
      <x:c r="C20" s="10" t="str">
        <x:v>SEED_TULIP</x:v>
      </x:c>
      <x:c r="D20" s="10" t="str">
        <x:v>郁金香种子</x:v>
      </x:c>
      <x:c r="E20" s="10" t="str">
        <x:v>种子</x:v>
      </x:c>
      <x:c r="F20" s="10" t="str">
        <x:v>R</x:v>
      </x:c>
      <x:c r="G20" s="10" t="n">
        <x:v>2</x:v>
      </x:c>
      <x:c r="H20" s="10" t="n">
        <x:v>20</x:v>
      </x:c>
      <x:c r="I20" s="22" t="n">
        <x:f>H20/SUMIFS($H$7:$H$49,$A$7:$A$49,A20,$B$7:$B$49,B20,$F$7:$F$49,F20)</x:f>
        <x:v>0.19999999999999996</x:v>
      </x:c>
      <x:c r="J20" s="22" t="n">
        <x:f>I20*SUMIFS('奖池规则'!$F$7:$F$15,'奖池规则'!$A$7:$A$15,A20,'奖池规则'!$E$7:$E$15,F20)</x:f>
        <x:v>0.13999999999999996</x:v>
      </x:c>
      <x:c r="K20" s="10" t="str">
        <x:v>无遗传因子；免费补给肥沿用现有百分比效果</x:v>
      </x:c>
      <x:c r="L20" s="10" t="str">
        <x:v>首发</x:v>
      </x:c>
    </x:row>
    <x:row r="21" ht="48" customHeight="1">
      <x:c r="A21" s="9" t="str">
        <x:v>POOL_SUPPLY</x:v>
      </x:c>
      <x:c r="B21" s="9" t="str">
        <x:v>SUPPLY_MAIN</x:v>
      </x:c>
      <x:c r="C21" s="9" t="str">
        <x:v>SEED_BERRY</x:v>
      </x:c>
      <x:c r="D21" s="9" t="str">
        <x:v>蓝莓种子</x:v>
      </x:c>
      <x:c r="E21" s="9" t="str">
        <x:v>种子</x:v>
      </x:c>
      <x:c r="F21" s="9" t="str">
        <x:v>R</x:v>
      </x:c>
      <x:c r="G21" s="9" t="n">
        <x:v>2</x:v>
      </x:c>
      <x:c r="H21" s="9" t="n">
        <x:v>15</x:v>
      </x:c>
      <x:c r="I21" s="21" t="n">
        <x:f>H21/SUMIFS($H$7:$H$49,$A$7:$A$49,A21,$B$7:$B$49,B21,$F$7:$F$49,F21)</x:f>
        <x:v>0.14999999999999997</x:v>
      </x:c>
      <x:c r="J21" s="21" t="n">
        <x:f>I21*SUMIFS('奖池规则'!$F$7:$F$15,'奖池规则'!$A$7:$A$15,A21,'奖池规则'!$E$7:$E$15,F21)</x:f>
        <x:v>0.10499999999999997</x:v>
      </x:c>
      <x:c r="K21" s="9" t="str">
        <x:v>无遗传因子；免费补给肥沿用现有百分比效果</x:v>
      </x:c>
      <x:c r="L21" s="9" t="str">
        <x:v>首发</x:v>
      </x:c>
    </x:row>
    <x:row r="22" ht="48" customHeight="1">
      <x:c r="A22" s="10" t="str">
        <x:v>POOL_SUPPLY</x:v>
      </x:c>
      <x:c r="B22" s="10" t="str">
        <x:v>SUPPLY_MAIN</x:v>
      </x:c>
      <x:c r="C22" s="10" t="str">
        <x:v>FERT_SPEED</x:v>
      </x:c>
      <x:c r="D22" s="10" t="str">
        <x:v>初级加速肥</x:v>
      </x:c>
      <x:c r="E22" s="10" t="str">
        <x:v>肥料</x:v>
      </x:c>
      <x:c r="F22" s="10" t="str">
        <x:v>R</x:v>
      </x:c>
      <x:c r="G22" s="10" t="n">
        <x:v>3</x:v>
      </x:c>
      <x:c r="H22" s="10" t="n">
        <x:v>30</x:v>
      </x:c>
      <x:c r="I22" s="22" t="n">
        <x:f>H22/SUMIFS($H$7:$H$49,$A$7:$A$49,A22,$B$7:$B$49,B22,$F$7:$F$49,F22)</x:f>
        <x:v>0.29999999999999993</x:v>
      </x:c>
      <x:c r="J22" s="22" t="n">
        <x:f>I22*SUMIFS('奖池规则'!$F$7:$F$15,'奖池规则'!$A$7:$A$15,A22,'奖池规则'!$E$7:$E$15,F22)</x:f>
        <x:v>0.20999999999999994</x:v>
      </x:c>
      <x:c r="K22" s="10" t="str">
        <x:v>无遗传因子；免费补给肥沿用现有百分比效果</x:v>
      </x:c>
      <x:c r="L22" s="10" t="str">
        <x:v>首发</x:v>
      </x:c>
    </x:row>
    <x:row r="23" ht="48" customHeight="1">
      <x:c r="A23" s="9" t="str">
        <x:v>POOL_SUPPLY</x:v>
      </x:c>
      <x:c r="B23" s="9" t="str">
        <x:v>SUPPLY_MAIN</x:v>
      </x:c>
      <x:c r="C23" s="9" t="str">
        <x:v>SEED_APPLE</x:v>
      </x:c>
      <x:c r="D23" s="9" t="str">
        <x:v>苹果种子</x:v>
      </x:c>
      <x:c r="E23" s="9" t="str">
        <x:v>种子</x:v>
      </x:c>
      <x:c r="F23" s="9" t="str">
        <x:v>SR</x:v>
      </x:c>
      <x:c r="G23" s="9" t="n">
        <x:v>2</x:v>
      </x:c>
      <x:c r="H23" s="9" t="n">
        <x:v>20</x:v>
      </x:c>
      <x:c r="I23" s="21" t="n">
        <x:f>H23/SUMIFS($H$7:$H$49,$A$7:$A$49,A23,$B$7:$B$49,B23,$F$7:$F$49,F23)</x:f>
        <x:v>0.2000000000000001</x:v>
      </x:c>
      <x:c r="J23" s="21" t="n">
        <x:f>I23*SUMIFS('奖池规则'!$F$7:$F$15,'奖池规则'!$A$7:$A$15,A23,'奖池规则'!$E$7:$E$15,F23)</x:f>
        <x:v>0.050000000000000024</x:v>
      </x:c>
      <x:c r="K23" s="9" t="str">
        <x:v>无遗传因子；免费补给肥沿用现有百分比效果</x:v>
      </x:c>
      <x:c r="L23" s="9" t="str">
        <x:v>首发</x:v>
      </x:c>
    </x:row>
    <x:row r="24" ht="48" customHeight="1">
      <x:c r="A24" s="10" t="str">
        <x:v>POOL_SUPPLY</x:v>
      </x:c>
      <x:c r="B24" s="10" t="str">
        <x:v>SUPPLY_MAIN</x:v>
      </x:c>
      <x:c r="C24" s="10" t="str">
        <x:v>SEED_PINE</x:v>
      </x:c>
      <x:c r="D24" s="10" t="str">
        <x:v>菠萝种子</x:v>
      </x:c>
      <x:c r="E24" s="10" t="str">
        <x:v>种子</x:v>
      </x:c>
      <x:c r="F24" s="10" t="str">
        <x:v>SR</x:v>
      </x:c>
      <x:c r="G24" s="10" t="n">
        <x:v>3</x:v>
      </x:c>
      <x:c r="H24" s="10" t="n">
        <x:v>20</x:v>
      </x:c>
      <x:c r="I24" s="22" t="n">
        <x:f>H24/SUMIFS($H$7:$H$49,$A$7:$A$49,A24,$B$7:$B$49,B24,$F$7:$F$49,F24)</x:f>
        <x:v>0.2000000000000001</x:v>
      </x:c>
      <x:c r="J24" s="22" t="n">
        <x:f>I24*SUMIFS('奖池规则'!$F$7:$F$15,'奖池规则'!$A$7:$A$15,A24,'奖池规则'!$E$7:$E$15,F24)</x:f>
        <x:v>0.050000000000000024</x:v>
      </x:c>
      <x:c r="K24" s="10" t="str">
        <x:v>无遗传因子；免费补给肥沿用现有百分比效果</x:v>
      </x:c>
      <x:c r="L24" s="10" t="str">
        <x:v>首发</x:v>
      </x:c>
    </x:row>
    <x:row r="25" ht="48" customHeight="1">
      <x:c r="A25" s="9" t="str">
        <x:v>POOL_SUPPLY</x:v>
      </x:c>
      <x:c r="B25" s="9" t="str">
        <x:v>SUPPLY_MAIN</x:v>
      </x:c>
      <x:c r="C25" s="9" t="str">
        <x:v>FERT_SPEED3</x:v>
      </x:c>
      <x:c r="D25" s="9" t="str">
        <x:v>高级加速肥</x:v>
      </x:c>
      <x:c r="E25" s="9" t="str">
        <x:v>肥料</x:v>
      </x:c>
      <x:c r="F25" s="9" t="str">
        <x:v>SR</x:v>
      </x:c>
      <x:c r="G25" s="9" t="n">
        <x:v>2</x:v>
      </x:c>
      <x:c r="H25" s="9" t="n">
        <x:v>30</x:v>
      </x:c>
      <x:c r="I25" s="21" t="n">
        <x:f>H25/SUMIFS($H$7:$H$49,$A$7:$A$49,A25,$B$7:$B$49,B25,$F$7:$F$49,F25)</x:f>
        <x:v>0.30000000000000016</x:v>
      </x:c>
      <x:c r="J25" s="21" t="n">
        <x:f>I25*SUMIFS('奖池规则'!$F$7:$F$15,'奖池规则'!$A$7:$A$15,A25,'奖池规则'!$E$7:$E$15,F25)</x:f>
        <x:v>0.07500000000000004</x:v>
      </x:c>
      <x:c r="K25" s="9" t="str">
        <x:v>无遗传因子；免费补给肥沿用现有百分比效果</x:v>
      </x:c>
      <x:c r="L25" s="9" t="str">
        <x:v>首发</x:v>
      </x:c>
    </x:row>
    <x:row r="26" ht="48" customHeight="1">
      <x:c r="A26" s="10" t="str">
        <x:v>POOL_SUPPLY</x:v>
      </x:c>
      <x:c r="B26" s="10" t="str">
        <x:v>SUPPLY_MAIN</x:v>
      </x:c>
      <x:c r="C26" s="10" t="str">
        <x:v>moss-stool</x:v>
      </x:c>
      <x:c r="D26" s="10" t="str">
        <x:v>苔绒小凳</x:v>
      </x:c>
      <x:c r="E26" s="10" t="str">
        <x:v>家具</x:v>
      </x:c>
      <x:c r="F26" s="10" t="str">
        <x:v>R</x:v>
      </x:c>
      <x:c r="G26" s="10" t="n">
        <x:v>1</x:v>
      </x:c>
      <x:c r="H26" s="10" t="n">
        <x:v>1.1111111111111112</x:v>
      </x:c>
      <x:c r="I26" s="22" t="n">
        <x:f>H26/SUMIFS($H$7:$H$49,$A$7:$A$49,A26,$B$7:$B$49,B26,$F$7:$F$49,F26)</x:f>
        <x:v>0.011111111111111108</x:v>
      </x:c>
      <x:c r="J26" s="22" t="n">
        <x:f>I26*SUMIFS('奖池规则'!$F$7:$F$15,'奖池规则'!$A$7:$A$15,A26,'奖池规则'!$E$7:$E$15,F26)</x:f>
        <x:v>0.007777777777777775</x:v>
      </x:c>
      <x:c r="K26" s="10" t="str">
        <x:v>第三件起金币返还；不转星屑</x:v>
      </x:c>
      <x:c r="L26" s="10" t="str">
        <x:v>首发</x:v>
      </x:c>
    </x:row>
    <x:row r="27" ht="48" customHeight="1">
      <x:c r="A27" s="9" t="str">
        <x:v>POOL_SUPPLY</x:v>
      </x:c>
      <x:c r="B27" s="9" t="str">
        <x:v>SUPPLY_MAIN</x:v>
      </x:c>
      <x:c r="C27" s="9" t="str">
        <x:v>sprout-lamp</x:v>
      </x:c>
      <x:c r="D27" s="9" t="str">
        <x:v>铃兰落地灯</x:v>
      </x:c>
      <x:c r="E27" s="9" t="str">
        <x:v>家具</x:v>
      </x:c>
      <x:c r="F27" s="9" t="str">
        <x:v>R</x:v>
      </x:c>
      <x:c r="G27" s="9" t="n">
        <x:v>1</x:v>
      </x:c>
      <x:c r="H27" s="9" t="n">
        <x:v>1.1111111111111112</x:v>
      </x:c>
      <x:c r="I27" s="21" t="n">
        <x:f>H27/SUMIFS($H$7:$H$49,$A$7:$A$49,A27,$B$7:$B$49,B27,$F$7:$F$49,F27)</x:f>
        <x:v>0.011111111111111108</x:v>
      </x:c>
      <x:c r="J27" s="21" t="n">
        <x:f>I27*SUMIFS('奖池规则'!$F$7:$F$15,'奖池规则'!$A$7:$A$15,A27,'奖池规则'!$E$7:$E$15,F27)</x:f>
        <x:v>0.007777777777777775</x:v>
      </x:c>
      <x:c r="K27" s="9" t="str">
        <x:v>第三件起金币返还；不转星屑</x:v>
      </x:c>
      <x:c r="L27" s="9" t="str">
        <x:v>首发</x:v>
      </x:c>
    </x:row>
    <x:row r="28" ht="48" customHeight="1">
      <x:c r="A28" s="10" t="str">
        <x:v>POOL_SUPPLY</x:v>
      </x:c>
      <x:c r="B28" s="10" t="str">
        <x:v>SUPPLY_MAIN</x:v>
      </x:c>
      <x:c r="C28" s="10" t="str">
        <x:v>F_03_7</x:v>
      </x:c>
      <x:c r="D28" s="10" t="str">
        <x:v>星叶地毯</x:v>
      </x:c>
      <x:c r="E28" s="10" t="str">
        <x:v>家具</x:v>
      </x:c>
      <x:c r="F28" s="10" t="str">
        <x:v>R</x:v>
      </x:c>
      <x:c r="G28" s="10" t="n">
        <x:v>1</x:v>
      </x:c>
      <x:c r="H28" s="10" t="n">
        <x:v>1.1111111111111112</x:v>
      </x:c>
      <x:c r="I28" s="22" t="n">
        <x:f>H28/SUMIFS($H$7:$H$49,$A$7:$A$49,A28,$B$7:$B$49,B28,$F$7:$F$49,F28)</x:f>
        <x:v>0.011111111111111108</x:v>
      </x:c>
      <x:c r="J28" s="22" t="n">
        <x:f>I28*SUMIFS('奖池规则'!$F$7:$F$15,'奖池规则'!$A$7:$A$15,A28,'奖池规则'!$E$7:$E$15,F28)</x:f>
        <x:v>0.007777777777777775</x:v>
      </x:c>
      <x:c r="K28" s="10" t="str">
        <x:v>第三件起金币返还；不转星屑</x:v>
      </x:c>
      <x:c r="L28" s="10" t="str">
        <x:v>首发</x:v>
      </x:c>
    </x:row>
    <x:row r="29" ht="48" customHeight="1">
      <x:c r="A29" s="9" t="str">
        <x:v>POOL_SUPPLY</x:v>
      </x:c>
      <x:c r="B29" s="9" t="str">
        <x:v>SUPPLY_MAIN</x:v>
      </x:c>
      <x:c r="C29" s="9" t="str">
        <x:v>F_07_1</x:v>
      </x:c>
      <x:c r="D29" s="9" t="str">
        <x:v>花苞坐墩</x:v>
      </x:c>
      <x:c r="E29" s="9" t="str">
        <x:v>家具</x:v>
      </x:c>
      <x:c r="F29" s="9" t="str">
        <x:v>R</x:v>
      </x:c>
      <x:c r="G29" s="9" t="n">
        <x:v>1</x:v>
      </x:c>
      <x:c r="H29" s="9" t="n">
        <x:v>1.1111111111111112</x:v>
      </x:c>
      <x:c r="I29" s="21" t="n">
        <x:f>H29/SUMIFS($H$7:$H$49,$A$7:$A$49,A29,$B$7:$B$49,B29,$F$7:$F$49,F29)</x:f>
        <x:v>0.011111111111111108</x:v>
      </x:c>
      <x:c r="J29" s="21" t="n">
        <x:f>I29*SUMIFS('奖池规则'!$F$7:$F$15,'奖池规则'!$A$7:$A$15,A29,'奖池规则'!$E$7:$E$15,F29)</x:f>
        <x:v>0.007777777777777775</x:v>
      </x:c>
      <x:c r="K29" s="9" t="str">
        <x:v>第三件起金币返还；不转星屑</x:v>
      </x:c>
      <x:c r="L29" s="9" t="str">
        <x:v>首发</x:v>
      </x:c>
    </x:row>
    <x:row r="30" ht="48" customHeight="1">
      <x:c r="A30" s="10" t="str">
        <x:v>POOL_SUPPLY</x:v>
      </x:c>
      <x:c r="B30" s="10" t="str">
        <x:v>SUPPLY_MAIN</x:v>
      </x:c>
      <x:c r="C30" s="10" t="str">
        <x:v>F_07_2</x:v>
      </x:c>
      <x:c r="D30" s="10" t="str">
        <x:v>郁金立灯</x:v>
      </x:c>
      <x:c r="E30" s="10" t="str">
        <x:v>家具</x:v>
      </x:c>
      <x:c r="F30" s="10" t="str">
        <x:v>R</x:v>
      </x:c>
      <x:c r="G30" s="10" t="n">
        <x:v>1</x:v>
      </x:c>
      <x:c r="H30" s="10" t="n">
        <x:v>1.1111111111111112</x:v>
      </x:c>
      <x:c r="I30" s="22" t="n">
        <x:f>H30/SUMIFS($H$7:$H$49,$A$7:$A$49,A30,$B$7:$B$49,B30,$F$7:$F$49,F30)</x:f>
        <x:v>0.011111111111111108</x:v>
      </x:c>
      <x:c r="J30" s="22" t="n">
        <x:f>I30*SUMIFS('奖池规则'!$F$7:$F$15,'奖池规则'!$A$7:$A$15,A30,'奖池规则'!$E$7:$E$15,F30)</x:f>
        <x:v>0.007777777777777775</x:v>
      </x:c>
      <x:c r="K30" s="10" t="str">
        <x:v>第三件起金币返还；不转星屑</x:v>
      </x:c>
      <x:c r="L30" s="10" t="str">
        <x:v>首发</x:v>
      </x:c>
    </x:row>
    <x:row r="31" ht="48" customHeight="1">
      <x:c r="A31" s="9" t="str">
        <x:v>POOL_SUPPLY</x:v>
      </x:c>
      <x:c r="B31" s="9" t="str">
        <x:v>SUPPLY_MAIN</x:v>
      </x:c>
      <x:c r="C31" s="9" t="str">
        <x:v>F_07_3</x:v>
      </x:c>
      <x:c r="D31" s="9" t="str">
        <x:v>花港小桌</x:v>
      </x:c>
      <x:c r="E31" s="9" t="str">
        <x:v>家具</x:v>
      </x:c>
      <x:c r="F31" s="9" t="str">
        <x:v>R</x:v>
      </x:c>
      <x:c r="G31" s="9" t="n">
        <x:v>1</x:v>
      </x:c>
      <x:c r="H31" s="9" t="n">
        <x:v>1.1111111111111112</x:v>
      </x:c>
      <x:c r="I31" s="21" t="n">
        <x:f>H31/SUMIFS($H$7:$H$49,$A$7:$A$49,A31,$B$7:$B$49,B31,$F$7:$F$49,F31)</x:f>
        <x:v>0.011111111111111108</x:v>
      </x:c>
      <x:c r="J31" s="21" t="n">
        <x:f>I31*SUMIFS('奖池规则'!$F$7:$F$15,'奖池规则'!$A$7:$A$15,A31,'奖池规则'!$E$7:$E$15,F31)</x:f>
        <x:v>0.007777777777777775</x:v>
      </x:c>
      <x:c r="K31" s="9" t="str">
        <x:v>第三件起金币返还；不转星屑</x:v>
      </x:c>
      <x:c r="L31" s="9" t="str">
        <x:v>首发</x:v>
      </x:c>
    </x:row>
    <x:row r="32" ht="48" customHeight="1">
      <x:c r="A32" s="10" t="str">
        <x:v>POOL_SUPPLY</x:v>
      </x:c>
      <x:c r="B32" s="10" t="str">
        <x:v>SUPPLY_MAIN</x:v>
      </x:c>
      <x:c r="C32" s="10" t="str">
        <x:v>F_10_1</x:v>
      </x:c>
      <x:c r="D32" s="10" t="str">
        <x:v>藤编小凳</x:v>
      </x:c>
      <x:c r="E32" s="10" t="str">
        <x:v>家具</x:v>
      </x:c>
      <x:c r="F32" s="10" t="str">
        <x:v>R</x:v>
      </x:c>
      <x:c r="G32" s="10" t="n">
        <x:v>1</x:v>
      </x:c>
      <x:c r="H32" s="10" t="n">
        <x:v>1.1111111111111112</x:v>
      </x:c>
      <x:c r="I32" s="22" t="n">
        <x:f>H32/SUMIFS($H$7:$H$49,$A$7:$A$49,A32,$B$7:$B$49,B32,$F$7:$F$49,F32)</x:f>
        <x:v>0.011111111111111108</x:v>
      </x:c>
      <x:c r="J32" s="22" t="n">
        <x:f>I32*SUMIFS('奖池规则'!$F$7:$F$15,'奖池规则'!$A$7:$A$15,A32,'奖池规则'!$E$7:$E$15,F32)</x:f>
        <x:v>0.007777777777777775</x:v>
      </x:c>
      <x:c r="K32" s="10" t="str">
        <x:v>第三件起金币返还；不转星屑</x:v>
      </x:c>
      <x:c r="L32" s="10" t="str">
        <x:v>首发</x:v>
      </x:c>
    </x:row>
    <x:row r="33" ht="48" customHeight="1">
      <x:c r="A33" s="9" t="str">
        <x:v>POOL_SUPPLY</x:v>
      </x:c>
      <x:c r="B33" s="9" t="str">
        <x:v>SUPPLY_MAIN</x:v>
      </x:c>
      <x:c r="C33" s="9" t="str">
        <x:v>F_10_2</x:v>
      </x:c>
      <x:c r="D33" s="9" t="str">
        <x:v>雨滴立灯</x:v>
      </x:c>
      <x:c r="E33" s="9" t="str">
        <x:v>家具</x:v>
      </x:c>
      <x:c r="F33" s="9" t="str">
        <x:v>R</x:v>
      </x:c>
      <x:c r="G33" s="9" t="n">
        <x:v>1</x:v>
      </x:c>
      <x:c r="H33" s="9" t="n">
        <x:v>1.1111111111111112</x:v>
      </x:c>
      <x:c r="I33" s="21" t="n">
        <x:f>H33/SUMIFS($H$7:$H$49,$A$7:$A$49,A33,$B$7:$B$49,B33,$F$7:$F$49,F33)</x:f>
        <x:v>0.011111111111111108</x:v>
      </x:c>
      <x:c r="J33" s="21" t="n">
        <x:f>I33*SUMIFS('奖池规则'!$F$7:$F$15,'奖池规则'!$A$7:$A$15,A33,'奖池规则'!$E$7:$E$15,F33)</x:f>
        <x:v>0.007777777777777775</x:v>
      </x:c>
      <x:c r="K33" s="9" t="str">
        <x:v>第三件起金币返还；不转星屑</x:v>
      </x:c>
      <x:c r="L33" s="9" t="str">
        <x:v>首发</x:v>
      </x:c>
    </x:row>
    <x:row r="34" ht="48" customHeight="1">
      <x:c r="A34" s="10" t="str">
        <x:v>POOL_SUPPLY</x:v>
      </x:c>
      <x:c r="B34" s="10" t="str">
        <x:v>SUPPLY_MAIN</x:v>
      </x:c>
      <x:c r="C34" s="10" t="str">
        <x:v>F_10_3</x:v>
      </x:c>
      <x:c r="D34" s="10" t="str">
        <x:v>叶脉茶几</x:v>
      </x:c>
      <x:c r="E34" s="10" t="str">
        <x:v>家具</x:v>
      </x:c>
      <x:c r="F34" s="10" t="str">
        <x:v>R</x:v>
      </x:c>
      <x:c r="G34" s="10" t="n">
        <x:v>1</x:v>
      </x:c>
      <x:c r="H34" s="10" t="n">
        <x:v>1.1111111111111112</x:v>
      </x:c>
      <x:c r="I34" s="22" t="n">
        <x:f>H34/SUMIFS($H$7:$H$49,$A$7:$A$49,A34,$B$7:$B$49,B34,$F$7:$F$49,F34)</x:f>
        <x:v>0.011111111111111108</x:v>
      </x:c>
      <x:c r="J34" s="22" t="n">
        <x:f>I34*SUMIFS('奖池规则'!$F$7:$F$15,'奖池规则'!$A$7:$A$15,A34,'奖池规则'!$E$7:$E$15,F34)</x:f>
        <x:v>0.007777777777777775</x:v>
      </x:c>
      <x:c r="K34" s="10" t="str">
        <x:v>第三件起金币返还；不转星屑</x:v>
      </x:c>
      <x:c r="L34" s="10" t="str">
        <x:v>首发</x:v>
      </x:c>
    </x:row>
    <x:row r="35" ht="48" customHeight="1">
      <x:c r="A35" s="9" t="str">
        <x:v>POOL_SUPPLY</x:v>
      </x:c>
      <x:c r="B35" s="9" t="str">
        <x:v>SUPPLY_MAIN</x:v>
      </x:c>
      <x:c r="C35" s="9" t="str">
        <x:v>potting-shelf</x:v>
      </x:c>
      <x:c r="D35" s="9" t="str">
        <x:v>花匠置物架</x:v>
      </x:c>
      <x:c r="E35" s="9" t="str">
        <x:v>家具</x:v>
      </x:c>
      <x:c r="F35" s="9" t="str">
        <x:v>SR</x:v>
      </x:c>
      <x:c r="G35" s="9" t="n">
        <x:v>1</x:v>
      </x:c>
      <x:c r="H35" s="9" t="n">
        <x:v>3.3333333333333335</x:v>
      </x:c>
      <x:c r="I35" s="21" t="n">
        <x:f>H35/SUMIFS($H$7:$H$49,$A$7:$A$49,A35,$B$7:$B$49,B35,$F$7:$F$49,F35)</x:f>
        <x:v>0.03333333333333335</x:v>
      </x:c>
      <x:c r="J35" s="21" t="n">
        <x:f>I35*SUMIFS('奖池规则'!$F$7:$F$15,'奖池规则'!$A$7:$A$15,A35,'奖池规则'!$E$7:$E$15,F35)</x:f>
        <x:v>0.008333333333333337</x:v>
      </x:c>
      <x:c r="K35" s="9" t="str">
        <x:v>第三件起金币返还；不转星屑</x:v>
      </x:c>
      <x:c r="L35" s="9" t="str">
        <x:v>首发</x:v>
      </x:c>
    </x:row>
    <x:row r="36" ht="48" customHeight="1">
      <x:c r="A36" s="10" t="str">
        <x:v>POOL_SUPPLY</x:v>
      </x:c>
      <x:c r="B36" s="10" t="str">
        <x:v>SUPPLY_MAIN</x:v>
      </x:c>
      <x:c r="C36" s="10" t="str">
        <x:v>fern-bench</x:v>
      </x:c>
      <x:c r="D36" s="10" t="str">
        <x:v>蕨叶双人椅</x:v>
      </x:c>
      <x:c r="E36" s="10" t="str">
        <x:v>家具</x:v>
      </x:c>
      <x:c r="F36" s="10" t="str">
        <x:v>SR</x:v>
      </x:c>
      <x:c r="G36" s="10" t="n">
        <x:v>1</x:v>
      </x:c>
      <x:c r="H36" s="10" t="n">
        <x:v>3.3333333333333335</x:v>
      </x:c>
      <x:c r="I36" s="22" t="n">
        <x:f>H36/SUMIFS($H$7:$H$49,$A$7:$A$49,A36,$B$7:$B$49,B36,$F$7:$F$49,F36)</x:f>
        <x:v>0.03333333333333335</x:v>
      </x:c>
      <x:c r="J36" s="22" t="n">
        <x:f>I36*SUMIFS('奖池规则'!$F$7:$F$15,'奖池规则'!$A$7:$A$15,A36,'奖池规则'!$E$7:$E$15,F36)</x:f>
        <x:v>0.008333333333333337</x:v>
      </x:c>
      <x:c r="K36" s="10" t="str">
        <x:v>第三件起金币返还；不转星屑</x:v>
      </x:c>
      <x:c r="L36" s="10" t="str">
        <x:v>首发</x:v>
      </x:c>
    </x:row>
    <x:row r="37" ht="48" customHeight="1">
      <x:c r="A37" s="9" t="str">
        <x:v>POOL_SUPPLY</x:v>
      </x:c>
      <x:c r="B37" s="9" t="str">
        <x:v>SUPPLY_MAIN</x:v>
      </x:c>
      <x:c r="C37" s="9" t="str">
        <x:v>F_03_8</x:v>
      </x:c>
      <x:c r="D37" s="9" t="str">
        <x:v>月光花窗</x:v>
      </x:c>
      <x:c r="E37" s="9" t="str">
        <x:v>家具</x:v>
      </x:c>
      <x:c r="F37" s="9" t="str">
        <x:v>SR</x:v>
      </x:c>
      <x:c r="G37" s="9" t="n">
        <x:v>1</x:v>
      </x:c>
      <x:c r="H37" s="9" t="n">
        <x:v>3.3333333333333335</x:v>
      </x:c>
      <x:c r="I37" s="21" t="n">
        <x:f>H37/SUMIFS($H$7:$H$49,$A$7:$A$49,A37,$B$7:$B$49,B37,$F$7:$F$49,F37)</x:f>
        <x:v>0.03333333333333335</x:v>
      </x:c>
      <x:c r="J37" s="21" t="n">
        <x:f>I37*SUMIFS('奖池规则'!$F$7:$F$15,'奖池规则'!$A$7:$A$15,A37,'奖池规则'!$E$7:$E$15,F37)</x:f>
        <x:v>0.008333333333333337</x:v>
      </x:c>
      <x:c r="K37" s="9" t="str">
        <x:v>第三件起金币返还；不转星屑</x:v>
      </x:c>
      <x:c r="L37" s="9" t="str">
        <x:v>首发</x:v>
      </x:c>
    </x:row>
    <x:row r="38" ht="48" customHeight="1">
      <x:c r="A38" s="10" t="str">
        <x:v>POOL_SUPPLY</x:v>
      </x:c>
      <x:c r="B38" s="10" t="str">
        <x:v>SUPPLY_MAIN</x:v>
      </x:c>
      <x:c r="C38" s="10" t="str">
        <x:v>F_07_4</x:v>
      </x:c>
      <x:c r="D38" s="10" t="str">
        <x:v>花瓣长椅</x:v>
      </x:c>
      <x:c r="E38" s="10" t="str">
        <x:v>家具</x:v>
      </x:c>
      <x:c r="F38" s="10" t="str">
        <x:v>SR</x:v>
      </x:c>
      <x:c r="G38" s="10" t="n">
        <x:v>1</x:v>
      </x:c>
      <x:c r="H38" s="10" t="n">
        <x:v>3.3333333333333335</x:v>
      </x:c>
      <x:c r="I38" s="22" t="n">
        <x:f>H38/SUMIFS($H$7:$H$49,$A$7:$A$49,A38,$B$7:$B$49,B38,$F$7:$F$49,F38)</x:f>
        <x:v>0.03333333333333335</x:v>
      </x:c>
      <x:c r="J38" s="22" t="n">
        <x:f>I38*SUMIFS('奖池规则'!$F$7:$F$15,'奖池规则'!$A$7:$A$15,A38,'奖池规则'!$E$7:$E$15,F38)</x:f>
        <x:v>0.008333333333333337</x:v>
      </x:c>
      <x:c r="K38" s="10" t="str">
        <x:v>第三件起金币返还；不转星屑</x:v>
      </x:c>
      <x:c r="L38" s="10" t="str">
        <x:v>首发</x:v>
      </x:c>
    </x:row>
    <x:row r="39" ht="48" customHeight="1">
      <x:c r="A39" s="9" t="str">
        <x:v>POOL_SUPPLY</x:v>
      </x:c>
      <x:c r="B39" s="9" t="str">
        <x:v>SUPPLY_MAIN</x:v>
      </x:c>
      <x:c r="C39" s="9" t="str">
        <x:v>F_07_5</x:v>
      </x:c>
      <x:c r="D39" s="9" t="str">
        <x:v>球根展示架</x:v>
      </x:c>
      <x:c r="E39" s="9" t="str">
        <x:v>家具</x:v>
      </x:c>
      <x:c r="F39" s="9" t="str">
        <x:v>SR</x:v>
      </x:c>
      <x:c r="G39" s="9" t="n">
        <x:v>1</x:v>
      </x:c>
      <x:c r="H39" s="9" t="n">
        <x:v>3.3333333333333335</x:v>
      </x:c>
      <x:c r="I39" s="21" t="n">
        <x:f>H39/SUMIFS($H$7:$H$49,$A$7:$A$49,A39,$B$7:$B$49,B39,$F$7:$F$49,F39)</x:f>
        <x:v>0.03333333333333335</x:v>
      </x:c>
      <x:c r="J39" s="21" t="n">
        <x:f>I39*SUMIFS('奖池规则'!$F$7:$F$15,'奖池规则'!$A$7:$A$15,A39,'奖池规则'!$E$7:$E$15,F39)</x:f>
        <x:v>0.008333333333333337</x:v>
      </x:c>
      <x:c r="K39" s="9" t="str">
        <x:v>第三件起金币返还；不转星屑</x:v>
      </x:c>
      <x:c r="L39" s="9" t="str">
        <x:v>首发</x:v>
      </x:c>
    </x:row>
    <x:row r="40" ht="48" customHeight="1">
      <x:c r="A40" s="10" t="str">
        <x:v>POOL_SUPPLY</x:v>
      </x:c>
      <x:c r="B40" s="10" t="str">
        <x:v>SUPPLY_MAIN</x:v>
      </x:c>
      <x:c r="C40" s="10" t="str">
        <x:v>F_07_6</x:v>
      </x:c>
      <x:c r="D40" s="10" t="str">
        <x:v>彩边花窗</x:v>
      </x:c>
      <x:c r="E40" s="10" t="str">
        <x:v>家具</x:v>
      </x:c>
      <x:c r="F40" s="10" t="str">
        <x:v>SR</x:v>
      </x:c>
      <x:c r="G40" s="10" t="n">
        <x:v>1</x:v>
      </x:c>
      <x:c r="H40" s="10" t="n">
        <x:v>3.3333333333333335</x:v>
      </x:c>
      <x:c r="I40" s="22" t="n">
        <x:f>H40/SUMIFS($H$7:$H$49,$A$7:$A$49,A40,$B$7:$B$49,B40,$F$7:$F$49,F40)</x:f>
        <x:v>0.03333333333333335</x:v>
      </x:c>
      <x:c r="J40" s="22" t="n">
        <x:f>I40*SUMIFS('奖池规则'!$F$7:$F$15,'奖池规则'!$A$7:$A$15,A40,'奖池规则'!$E$7:$E$15,F40)</x:f>
        <x:v>0.008333333333333337</x:v>
      </x:c>
      <x:c r="K40" s="10" t="str">
        <x:v>第三件起金币返还；不转星屑</x:v>
      </x:c>
      <x:c r="L40" s="10" t="str">
        <x:v>首发</x:v>
      </x:c>
    </x:row>
    <x:row r="41" ht="48" customHeight="1">
      <x:c r="A41" s="9" t="str">
        <x:v>POOL_SUPPLY</x:v>
      </x:c>
      <x:c r="B41" s="9" t="str">
        <x:v>SUPPLY_MAIN</x:v>
      </x:c>
      <x:c r="C41" s="9" t="str">
        <x:v>F_10_4</x:v>
      </x:c>
      <x:c r="D41" s="9" t="str">
        <x:v>雨林摇椅</x:v>
      </x:c>
      <x:c r="E41" s="9" t="str">
        <x:v>家具</x:v>
      </x:c>
      <x:c r="F41" s="9" t="str">
        <x:v>SR</x:v>
      </x:c>
      <x:c r="G41" s="9" t="n">
        <x:v>1</x:v>
      </x:c>
      <x:c r="H41" s="9" t="n">
        <x:v>3.3333333333333335</x:v>
      </x:c>
      <x:c r="I41" s="21" t="n">
        <x:f>H41/SUMIFS($H$7:$H$49,$A$7:$A$49,A41,$B$7:$B$49,B41,$F$7:$F$49,F41)</x:f>
        <x:v>0.03333333333333335</x:v>
      </x:c>
      <x:c r="J41" s="21" t="n">
        <x:f>I41*SUMIFS('奖池规则'!$F$7:$F$15,'奖池规则'!$A$7:$A$15,A41,'奖池规则'!$E$7:$E$15,F41)</x:f>
        <x:v>0.008333333333333337</x:v>
      </x:c>
      <x:c r="K41" s="9" t="str">
        <x:v>第三件起金币返还；不转星屑</x:v>
      </x:c>
      <x:c r="L41" s="9" t="str">
        <x:v>首发</x:v>
      </x:c>
    </x:row>
    <x:row r="42" ht="48" customHeight="1">
      <x:c r="A42" s="10" t="str">
        <x:v>POOL_SUPPLY</x:v>
      </x:c>
      <x:c r="B42" s="10" t="str">
        <x:v>SUPPLY_MAIN</x:v>
      </x:c>
      <x:c r="C42" s="10" t="str">
        <x:v>F_10_5</x:v>
      </x:c>
      <x:c r="D42" s="10" t="str">
        <x:v>兰花立架</x:v>
      </x:c>
      <x:c r="E42" s="10" t="str">
        <x:v>家具</x:v>
      </x:c>
      <x:c r="F42" s="10" t="str">
        <x:v>SR</x:v>
      </x:c>
      <x:c r="G42" s="10" t="n">
        <x:v>1</x:v>
      </x:c>
      <x:c r="H42" s="10" t="n">
        <x:v>3.3333333333333335</x:v>
      </x:c>
      <x:c r="I42" s="22" t="n">
        <x:f>H42/SUMIFS($H$7:$H$49,$A$7:$A$49,A42,$B$7:$B$49,B42,$F$7:$F$49,F42)</x:f>
        <x:v>0.03333333333333335</x:v>
      </x:c>
      <x:c r="J42" s="22" t="n">
        <x:f>I42*SUMIFS('奖池规则'!$F$7:$F$15,'奖池规则'!$A$7:$A$15,A42,'奖池规则'!$E$7:$E$15,F42)</x:f>
        <x:v>0.008333333333333337</x:v>
      </x:c>
      <x:c r="K42" s="10" t="str">
        <x:v>第三件起金币返还；不转星屑</x:v>
      </x:c>
      <x:c r="L42" s="10" t="str">
        <x:v>首发</x:v>
      </x:c>
    </x:row>
    <x:row r="43" ht="48" customHeight="1">
      <x:c r="A43" s="9" t="str">
        <x:v>POOL_SUPPLY</x:v>
      </x:c>
      <x:c r="B43" s="9" t="str">
        <x:v>SUPPLY_MAIN</x:v>
      </x:c>
      <x:c r="C43" s="9" t="str">
        <x:v>F_10_6</x:v>
      </x:c>
      <x:c r="D43" s="9" t="str">
        <x:v>热带壁饰</x:v>
      </x:c>
      <x:c r="E43" s="9" t="str">
        <x:v>家具</x:v>
      </x:c>
      <x:c r="F43" s="9" t="str">
        <x:v>SR</x:v>
      </x:c>
      <x:c r="G43" s="9" t="n">
        <x:v>1</x:v>
      </x:c>
      <x:c r="H43" s="9" t="n">
        <x:v>3.3333333333333335</x:v>
      </x:c>
      <x:c r="I43" s="21" t="n">
        <x:f>H43/SUMIFS($H$7:$H$49,$A$7:$A$49,A43,$B$7:$B$49,B43,$F$7:$F$49,F43)</x:f>
        <x:v>0.03333333333333335</x:v>
      </x:c>
      <x:c r="J43" s="21" t="n">
        <x:f>I43*SUMIFS('奖池规则'!$F$7:$F$15,'奖池规则'!$A$7:$A$15,A43,'奖池规则'!$E$7:$E$15,F43)</x:f>
        <x:v>0.008333333333333337</x:v>
      </x:c>
      <x:c r="K43" s="9" t="str">
        <x:v>第三件起金币返还；不转星屑</x:v>
      </x:c>
      <x:c r="L43" s="9" t="str">
        <x:v>首发</x:v>
      </x:c>
    </x:row>
    <x:row r="44" ht="48" customHeight="1">
      <x:c r="A44" s="10" t="str">
        <x:v>POOL_SUPPLY</x:v>
      </x:c>
      <x:c r="B44" s="10" t="str">
        <x:v>SUPPLY_MAIN</x:v>
      </x:c>
      <x:c r="C44" s="10" t="str">
        <x:v>moon-terrarium</x:v>
      </x:c>
      <x:c r="D44" s="10" t="str">
        <x:v>月光玻璃庭院</x:v>
      </x:c>
      <x:c r="E44" s="10" t="str">
        <x:v>家具</x:v>
      </x:c>
      <x:c r="F44" s="10" t="str">
        <x:v>SSR</x:v>
      </x:c>
      <x:c r="G44" s="10" t="n">
        <x:v>1</x:v>
      </x:c>
      <x:c r="H44" s="10" t="n">
        <x:v>16.666666666666668</x:v>
      </x:c>
      <x:c r="I44" s="22" t="n">
        <x:f>H44/SUMIFS($H$7:$H$49,$A$7:$A$49,A44,$B$7:$B$49,B44,$F$7:$F$49,F44)</x:f>
        <x:v>0.16666666666666666</x:v>
      </x:c>
      <x:c r="J44" s="22" t="n">
        <x:f>I44*SUMIFS('奖池规则'!$F$7:$F$15,'奖池规则'!$A$7:$A$15,A44,'奖池规则'!$E$7:$E$15,F44)</x:f>
        <x:v>0.008333333333333333</x:v>
      </x:c>
      <x:c r="K44" s="10" t="str">
        <x:v>第三件起金币返还；不转星屑</x:v>
      </x:c>
      <x:c r="L44" s="10" t="str">
        <x:v>首发</x:v>
      </x:c>
    </x:row>
    <x:row r="45" ht="48" customHeight="1">
      <x:c r="A45" s="9" t="str">
        <x:v>POOL_SUPPLY</x:v>
      </x:c>
      <x:c r="B45" s="9" t="str">
        <x:v>SUPPLY_MAIN</x:v>
      </x:c>
      <x:c r="C45" s="9" t="str">
        <x:v>cloud-fountain</x:v>
      </x:c>
      <x:c r="D45" s="9" t="str">
        <x:v>云朵叠泉</x:v>
      </x:c>
      <x:c r="E45" s="9" t="str">
        <x:v>家具</x:v>
      </x:c>
      <x:c r="F45" s="9" t="str">
        <x:v>SSR</x:v>
      </x:c>
      <x:c r="G45" s="9" t="n">
        <x:v>1</x:v>
      </x:c>
      <x:c r="H45" s="9" t="n">
        <x:v>16.666666666666668</x:v>
      </x:c>
      <x:c r="I45" s="21" t="n">
        <x:f>H45/SUMIFS($H$7:$H$49,$A$7:$A$49,A45,$B$7:$B$49,B45,$F$7:$F$49,F45)</x:f>
        <x:v>0.16666666666666666</x:v>
      </x:c>
      <x:c r="J45" s="21" t="n">
        <x:f>I45*SUMIFS('奖池规则'!$F$7:$F$15,'奖池规则'!$A$7:$A$15,A45,'奖池规则'!$E$7:$E$15,F45)</x:f>
        <x:v>0.008333333333333333</x:v>
      </x:c>
      <x:c r="K45" s="9" t="str">
        <x:v>第三件起金币返还；不转星屑</x:v>
      </x:c>
      <x:c r="L45" s="9" t="str">
        <x:v>首发</x:v>
      </x:c>
    </x:row>
    <x:row r="46" ht="48" customHeight="1">
      <x:c r="A46" s="10" t="str">
        <x:v>POOL_SUPPLY</x:v>
      </x:c>
      <x:c r="B46" s="10" t="str">
        <x:v>SUPPLY_MAIN</x:v>
      </x:c>
      <x:c r="C46" s="10" t="str">
        <x:v>F_07_7</x:v>
      </x:c>
      <x:c r="D46" s="10" t="str">
        <x:v>花田方毯</x:v>
      </x:c>
      <x:c r="E46" s="10" t="str">
        <x:v>家具</x:v>
      </x:c>
      <x:c r="F46" s="10" t="str">
        <x:v>SSR</x:v>
      </x:c>
      <x:c r="G46" s="10" t="n">
        <x:v>1</x:v>
      </x:c>
      <x:c r="H46" s="10" t="n">
        <x:v>16.666666666666668</x:v>
      </x:c>
      <x:c r="I46" s="22" t="n">
        <x:f>H46/SUMIFS($H$7:$H$49,$A$7:$A$49,A46,$B$7:$B$49,B46,$F$7:$F$49,F46)</x:f>
        <x:v>0.16666666666666666</x:v>
      </x:c>
      <x:c r="J46" s="22" t="n">
        <x:f>I46*SUMIFS('奖池规则'!$F$7:$F$15,'奖池规则'!$A$7:$A$15,A46,'奖池规则'!$E$7:$E$15,F46)</x:f>
        <x:v>0.008333333333333333</x:v>
      </x:c>
      <x:c r="K46" s="10" t="str">
        <x:v>第三件起金币返还；不转星屑</x:v>
      </x:c>
      <x:c r="L46" s="10" t="str">
        <x:v>首发</x:v>
      </x:c>
    </x:row>
    <x:row r="47" ht="48" customHeight="1">
      <x:c r="A47" s="9" t="str">
        <x:v>POOL_SUPPLY</x:v>
      </x:c>
      <x:c r="B47" s="9" t="str">
        <x:v>SUPPLY_MAIN</x:v>
      </x:c>
      <x:c r="C47" s="9" t="str">
        <x:v>F_07_8</x:v>
      </x:c>
      <x:c r="D47" s="9" t="str">
        <x:v>小型风车</x:v>
      </x:c>
      <x:c r="E47" s="9" t="str">
        <x:v>家具</x:v>
      </x:c>
      <x:c r="F47" s="9" t="str">
        <x:v>SSR</x:v>
      </x:c>
      <x:c r="G47" s="9" t="n">
        <x:v>1</x:v>
      </x:c>
      <x:c r="H47" s="9" t="n">
        <x:v>16.666666666666668</x:v>
      </x:c>
      <x:c r="I47" s="21" t="n">
        <x:f>H47/SUMIFS($H$7:$H$49,$A$7:$A$49,A47,$B$7:$B$49,B47,$F$7:$F$49,F47)</x:f>
        <x:v>0.16666666666666666</x:v>
      </x:c>
      <x:c r="J47" s="21" t="n">
        <x:f>I47*SUMIFS('奖池规则'!$F$7:$F$15,'奖池规则'!$A$7:$A$15,A47,'奖池规则'!$E$7:$E$15,F47)</x:f>
        <x:v>0.008333333333333333</x:v>
      </x:c>
      <x:c r="K47" s="9" t="str">
        <x:v>第三件起金币返还；不转星屑</x:v>
      </x:c>
      <x:c r="L47" s="9" t="str">
        <x:v>首发</x:v>
      </x:c>
    </x:row>
    <x:row r="48" ht="48" customHeight="1">
      <x:c r="A48" s="10" t="str">
        <x:v>POOL_SUPPLY</x:v>
      </x:c>
      <x:c r="B48" s="10" t="str">
        <x:v>SUPPLY_MAIN</x:v>
      </x:c>
      <x:c r="C48" s="10" t="str">
        <x:v>F_10_7</x:v>
      </x:c>
      <x:c r="D48" s="10" t="str">
        <x:v>编藤圆毯</x:v>
      </x:c>
      <x:c r="E48" s="10" t="str">
        <x:v>家具</x:v>
      </x:c>
      <x:c r="F48" s="10" t="str">
        <x:v>SSR</x:v>
      </x:c>
      <x:c r="G48" s="10" t="n">
        <x:v>1</x:v>
      </x:c>
      <x:c r="H48" s="10" t="n">
        <x:v>16.666666666666668</x:v>
      </x:c>
      <x:c r="I48" s="22" t="n">
        <x:f>H48/SUMIFS($H$7:$H$49,$A$7:$A$49,A48,$B$7:$B$49,B48,$F$7:$F$49,F48)</x:f>
        <x:v>0.16666666666666666</x:v>
      </x:c>
      <x:c r="J48" s="22" t="n">
        <x:f>I48*SUMIFS('奖池规则'!$F$7:$F$15,'奖池规则'!$A$7:$A$15,A48,'奖池规则'!$E$7:$E$15,F48)</x:f>
        <x:v>0.008333333333333333</x:v>
      </x:c>
      <x:c r="K48" s="10" t="str">
        <x:v>第三件起金币返还；不转星屑</x:v>
      </x:c>
      <x:c r="L48" s="10" t="str">
        <x:v>首发</x:v>
      </x:c>
    </x:row>
    <x:row r="49" ht="48" customHeight="1">
      <x:c r="A49" s="9" t="str">
        <x:v>POOL_SUPPLY</x:v>
      </x:c>
      <x:c r="B49" s="9" t="str">
        <x:v>SUPPLY_MAIN</x:v>
      </x:c>
      <x:c r="C49" s="9" t="str">
        <x:v>F_10_8</x:v>
      </x:c>
      <x:c r="D49" s="9" t="str">
        <x:v>雨林微景</x:v>
      </x:c>
      <x:c r="E49" s="9" t="str">
        <x:v>家具</x:v>
      </x:c>
      <x:c r="F49" s="9" t="str">
        <x:v>SSR</x:v>
      </x:c>
      <x:c r="G49" s="9" t="n">
        <x:v>1</x:v>
      </x:c>
      <x:c r="H49" s="9" t="n">
        <x:v>16.666666666666668</x:v>
      </x:c>
      <x:c r="I49" s="21" t="n">
        <x:f>H49/SUMIFS($H$7:$H$49,$A$7:$A$49,A49,$B$7:$B$49,B49,$F$7:$F$49,F49)</x:f>
        <x:v>0.16666666666666666</x:v>
      </x:c>
      <x:c r="J49" s="21" t="n">
        <x:f>I49*SUMIFS('奖池规则'!$F$7:$F$15,'奖池规则'!$A$7:$A$15,A49,'奖池规则'!$E$7:$E$15,F49)</x:f>
        <x:v>0.008333333333333333</x:v>
      </x:c>
      <x:c r="K49" s="9" t="str">
        <x:v>第三件起金币返还；不转星屑</x:v>
      </x:c>
      <x:c r="L49" s="9" t="str">
        <x:v>首发</x:v>
      </x:c>
    </x:row>
  </x:sheetData>
  <x:pageMargins left="0.7" right="0.7" top="0.75" bottom="0.75" header="0.3" footer="0.3"/>
  <x:tableParts count="1">
    <x:tablePart xmlns:r="http://schemas.openxmlformats.org/officeDocument/2006/relationships" r:id="Rdb44484ab34143f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8" hidden="0" customWidth="1"/>
    <x:col min="4" max="4" width="18" hidden="0" customWidth="1"/>
    <x:col min="5" max="5" width="16" hidden="0" customWidth="1"/>
    <x:col min="6" max="6" width="20" hidden="0" customWidth="1"/>
    <x:col min="7" max="7" width="22" hidden="0" customWidth="1"/>
    <x:col min="8" max="8" width="49" hidden="0" customWidth="1"/>
    <x:col min="9" max="9" width="69" hidden="0" customWidth="1"/>
    <x:col min="10" max="10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商店与兑换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8" t="str">
        <x:v>商品ID</x:v>
      </x:c>
      <x:c r="B6" s="8" t="str">
        <x:v>物品ID</x:v>
      </x:c>
      <x:c r="C6" s="8" t="str">
        <x:v>名称</x:v>
      </x:c>
      <x:c r="D6" s="8" t="str">
        <x:v>支付资产</x:v>
      </x:c>
      <x:c r="E6" s="8" t="str">
        <x:v>价格</x:v>
      </x:c>
      <x:c r="F6" s="8" t="str">
        <x:v>数量/持有建议</x:v>
      </x:c>
      <x:c r="G6" s="8" t="str">
        <x:v>售卖方式</x:v>
      </x:c>
      <x:c r="H6" s="8" t="str">
        <x:v>重复规则</x:v>
      </x:c>
      <x:c r="I6" s="8" t="str">
        <x:v>条件与说明</x:v>
      </x:c>
      <x:c r="J6" s="8" t="str">
        <x:v>批次</x:v>
      </x:c>
    </x:row>
    <x:row r="7" ht="48" customHeight="1">
      <x:c r="A7" s="9" t="str">
        <x:v>SHOP_COS_07_3</x:v>
      </x:c>
      <x:c r="B7" s="9" t="str">
        <x:v>COS_07_3</x:v>
      </x:c>
      <x:c r="C7" s="9" t="str">
        <x:v>步生花</x:v>
      </x:c>
      <x:c r="D7" s="9" t="str">
        <x:v>星晶</x:v>
      </x:c>
      <x:c r="E7" s="9" t="n">
        <x:v>480</x:v>
      </x:c>
      <x:c r="F7" s="9" t="n">
        <x:v>1</x:v>
      </x:c>
      <x:c r="G7" s="9" t="str">
        <x:v>永久直购</x:v>
      </x:c>
      <x:c r="H7" s="9" t="str">
        <x:v>已拥有不允许再购买</x:v>
      </x:c>
      <x:c r="I7" s="9" t="str">
        <x:v>同主题上线即开放</x:v>
      </x:c>
      <x:c r="J7" s="9" t="str">
        <x:v>首发</x:v>
      </x:c>
    </x:row>
    <x:row r="8" ht="48" customHeight="1">
      <x:c r="A8" s="10" t="str">
        <x:v>DUST_COS_07_3</x:v>
      </x:c>
      <x:c r="B8" s="10" t="str">
        <x:v>COS_07_3</x:v>
      </x:c>
      <x:c r="C8" s="10" t="str">
        <x:v>步生花</x:v>
      </x:c>
      <x:c r="D8" s="10" t="str">
        <x:v>星屑</x:v>
      </x:c>
      <x:c r="E8" s="10" t="n">
        <x:v>80</x:v>
      </x:c>
      <x:c r="F8" s="10" t="n">
        <x:v>1</x:v>
      </x:c>
      <x:c r="G8" s="10" t="str">
        <x:v>永久兑换</x:v>
      </x:c>
      <x:c r="H8" s="10" t="str">
        <x:v>已拥有不允许再兑换</x:v>
      </x:c>
      <x:c r="I8" s="10" t="str">
        <x:v>不要求抽过该物品</x:v>
      </x:c>
      <x:c r="J8" s="10" t="str">
        <x:v>首发</x:v>
      </x:c>
    </x:row>
    <x:row r="9" ht="48" customHeight="1">
      <x:c r="A9" s="9" t="str">
        <x:v>SHOP_COS_07_4</x:v>
      </x:c>
      <x:c r="B9" s="9" t="str">
        <x:v>COS_07_4</x:v>
      </x:c>
      <x:c r="C9" s="9" t="str">
        <x:v>月蚀来访</x:v>
      </x:c>
      <x:c r="D9" s="9" t="str">
        <x:v>星晶</x:v>
      </x:c>
      <x:c r="E9" s="9" t="n">
        <x:v>980</x:v>
      </x:c>
      <x:c r="F9" s="9" t="n">
        <x:v>1</x:v>
      </x:c>
      <x:c r="G9" s="9" t="str">
        <x:v>永久直购</x:v>
      </x:c>
      <x:c r="H9" s="9" t="str">
        <x:v>已拥有不允许再购买</x:v>
      </x:c>
      <x:c r="I9" s="9" t="str">
        <x:v>同主题上线即开放</x:v>
      </x:c>
      <x:c r="J9" s="9" t="str">
        <x:v>首发</x:v>
      </x:c>
    </x:row>
    <x:row r="10" ht="48" customHeight="1">
      <x:c r="A10" s="10" t="str">
        <x:v>DUST_COS_07_4</x:v>
      </x:c>
      <x:c r="B10" s="10" t="str">
        <x:v>COS_07_4</x:v>
      </x:c>
      <x:c r="C10" s="10" t="str">
        <x:v>月蚀来访</x:v>
      </x:c>
      <x:c r="D10" s="10" t="str">
        <x:v>星屑</x:v>
      </x:c>
      <x:c r="E10" s="10" t="n">
        <x:v>160</x:v>
      </x:c>
      <x:c r="F10" s="10" t="n">
        <x:v>1</x:v>
      </x:c>
      <x:c r="G10" s="10" t="str">
        <x:v>永久兑换</x:v>
      </x:c>
      <x:c r="H10" s="10" t="str">
        <x:v>已拥有不允许再兑换</x:v>
      </x:c>
      <x:c r="I10" s="10" t="str">
        <x:v>不要求抽过该物品</x:v>
      </x:c>
      <x:c r="J10" s="10" t="str">
        <x:v>首发</x:v>
      </x:c>
    </x:row>
    <x:row r="11" ht="48" customHeight="1">
      <x:c r="A11" s="9" t="str">
        <x:v>SHOP_COS_07_5</x:v>
      </x:c>
      <x:c r="B11" s="9" t="str">
        <x:v>COS_07_5</x:v>
      </x:c>
      <x:c r="C11" s="9" t="str">
        <x:v>苍蓝幽焰</x:v>
      </x:c>
      <x:c r="D11" s="9" t="str">
        <x:v>星晶</x:v>
      </x:c>
      <x:c r="E11" s="9" t="n">
        <x:v>980</x:v>
      </x:c>
      <x:c r="F11" s="9" t="n">
        <x:v>1</x:v>
      </x:c>
      <x:c r="G11" s="9" t="str">
        <x:v>永久直购</x:v>
      </x:c>
      <x:c r="H11" s="9" t="str">
        <x:v>已拥有不允许再购买</x:v>
      </x:c>
      <x:c r="I11" s="9" t="str">
        <x:v>同主题上线即开放</x:v>
      </x:c>
      <x:c r="J11" s="9" t="str">
        <x:v>首发</x:v>
      </x:c>
    </x:row>
    <x:row r="12" ht="48" customHeight="1">
      <x:c r="A12" s="10" t="str">
        <x:v>DUST_COS_07_5</x:v>
      </x:c>
      <x:c r="B12" s="10" t="str">
        <x:v>COS_07_5</x:v>
      </x:c>
      <x:c r="C12" s="10" t="str">
        <x:v>苍蓝幽焰</x:v>
      </x:c>
      <x:c r="D12" s="10" t="str">
        <x:v>星屑</x:v>
      </x:c>
      <x:c r="E12" s="10" t="n">
        <x:v>160</x:v>
      </x:c>
      <x:c r="F12" s="10" t="n">
        <x:v>1</x:v>
      </x:c>
      <x:c r="G12" s="10" t="str">
        <x:v>永久兑换</x:v>
      </x:c>
      <x:c r="H12" s="10" t="str">
        <x:v>已拥有不允许再兑换</x:v>
      </x:c>
      <x:c r="I12" s="10" t="str">
        <x:v>不要求抽过该物品</x:v>
      </x:c>
      <x:c r="J12" s="10" t="str">
        <x:v>首发</x:v>
      </x:c>
    </x:row>
    <x:row r="13" ht="48" customHeight="1">
      <x:c r="A13" s="9" t="str">
        <x:v>SHOP_COS_08_4</x:v>
      </x:c>
      <x:c r="B13" s="9" t="str">
        <x:v>COS_08_4</x:v>
      </x:c>
      <x:c r="C13" s="9" t="str">
        <x:v>琉璃月兔·来访</x:v>
      </x:c>
      <x:c r="D13" s="9" t="str">
        <x:v>星晶</x:v>
      </x:c>
      <x:c r="E13" s="9" t="n">
        <x:v>980</x:v>
      </x:c>
      <x:c r="F13" s="9" t="n">
        <x:v>1</x:v>
      </x:c>
      <x:c r="G13" s="9" t="str">
        <x:v>永久直购</x:v>
      </x:c>
      <x:c r="H13" s="9" t="str">
        <x:v>已拥有不允许再购买</x:v>
      </x:c>
      <x:c r="I13" s="9" t="str">
        <x:v>同主题上线即开放</x:v>
      </x:c>
      <x:c r="J13" s="9" t="str">
        <x:v>M2</x:v>
      </x:c>
    </x:row>
    <x:row r="14" ht="48" customHeight="1">
      <x:c r="A14" s="10" t="str">
        <x:v>DUST_COS_08_4</x:v>
      </x:c>
      <x:c r="B14" s="10" t="str">
        <x:v>COS_08_4</x:v>
      </x:c>
      <x:c r="C14" s="10" t="str">
        <x:v>琉璃月兔·来访</x:v>
      </x:c>
      <x:c r="D14" s="10" t="str">
        <x:v>星屑</x:v>
      </x:c>
      <x:c r="E14" s="10" t="n">
        <x:v>160</x:v>
      </x:c>
      <x:c r="F14" s="10" t="n">
        <x:v>1</x:v>
      </x:c>
      <x:c r="G14" s="10" t="str">
        <x:v>永久兑换</x:v>
      </x:c>
      <x:c r="H14" s="10" t="str">
        <x:v>已拥有不允许再兑换</x:v>
      </x:c>
      <x:c r="I14" s="10" t="str">
        <x:v>不要求抽过该物品</x:v>
      </x:c>
      <x:c r="J14" s="10" t="str">
        <x:v>M2</x:v>
      </x:c>
    </x:row>
    <x:row r="15" ht="48" customHeight="1">
      <x:c r="A15" s="9" t="str">
        <x:v>SHOP_COS_08_5</x:v>
      </x:c>
      <x:c r="B15" s="9" t="str">
        <x:v>COS_08_5</x:v>
      </x:c>
      <x:c r="C15" s="9" t="str">
        <x:v>琉璃月兔·流影</x:v>
      </x:c>
      <x:c r="D15" s="9" t="str">
        <x:v>星晶</x:v>
      </x:c>
      <x:c r="E15" s="9" t="n">
        <x:v>980</x:v>
      </x:c>
      <x:c r="F15" s="9" t="n">
        <x:v>1</x:v>
      </x:c>
      <x:c r="G15" s="9" t="str">
        <x:v>永久直购</x:v>
      </x:c>
      <x:c r="H15" s="9" t="str">
        <x:v>已拥有不允许再购买</x:v>
      </x:c>
      <x:c r="I15" s="9" t="str">
        <x:v>同主题上线即开放</x:v>
      </x:c>
      <x:c r="J15" s="9" t="str">
        <x:v>M2</x:v>
      </x:c>
    </x:row>
    <x:row r="16" ht="48" customHeight="1">
      <x:c r="A16" s="10" t="str">
        <x:v>DUST_COS_08_5</x:v>
      </x:c>
      <x:c r="B16" s="10" t="str">
        <x:v>COS_08_5</x:v>
      </x:c>
      <x:c r="C16" s="10" t="str">
        <x:v>琉璃月兔·流影</x:v>
      </x:c>
      <x:c r="D16" s="10" t="str">
        <x:v>星屑</x:v>
      </x:c>
      <x:c r="E16" s="10" t="n">
        <x:v>160</x:v>
      </x:c>
      <x:c r="F16" s="10" t="n">
        <x:v>1</x:v>
      </x:c>
      <x:c r="G16" s="10" t="str">
        <x:v>永久兑换</x:v>
      </x:c>
      <x:c r="H16" s="10" t="str">
        <x:v>已拥有不允许再兑换</x:v>
      </x:c>
      <x:c r="I16" s="10" t="str">
        <x:v>不要求抽过该物品</x:v>
      </x:c>
      <x:c r="J16" s="10" t="str">
        <x:v>M2</x:v>
      </x:c>
    </x:row>
    <x:row r="17" ht="48" customHeight="1">
      <x:c r="A17" s="9" t="str">
        <x:v>SHOP_COS_09_4</x:v>
      </x:c>
      <x:c r="B17" s="9" t="str">
        <x:v>COS_09_4</x:v>
      </x:c>
      <x:c r="C17" s="9" t="str">
        <x:v>云鲸漫游·来访</x:v>
      </x:c>
      <x:c r="D17" s="9" t="str">
        <x:v>星晶</x:v>
      </x:c>
      <x:c r="E17" s="9" t="n">
        <x:v>980</x:v>
      </x:c>
      <x:c r="F17" s="9" t="n">
        <x:v>1</x:v>
      </x:c>
      <x:c r="G17" s="9" t="str">
        <x:v>永久直购</x:v>
      </x:c>
      <x:c r="H17" s="9" t="str">
        <x:v>已拥有不允许再购买</x:v>
      </x:c>
      <x:c r="I17" s="9" t="str">
        <x:v>同主题上线即开放</x:v>
      </x:c>
      <x:c r="J17" s="9" t="str">
        <x:v>M3</x:v>
      </x:c>
    </x:row>
    <x:row r="18" ht="48" customHeight="1">
      <x:c r="A18" s="10" t="str">
        <x:v>DUST_COS_09_4</x:v>
      </x:c>
      <x:c r="B18" s="10" t="str">
        <x:v>COS_09_4</x:v>
      </x:c>
      <x:c r="C18" s="10" t="str">
        <x:v>云鲸漫游·来访</x:v>
      </x:c>
      <x:c r="D18" s="10" t="str">
        <x:v>星屑</x:v>
      </x:c>
      <x:c r="E18" s="10" t="n">
        <x:v>160</x:v>
      </x:c>
      <x:c r="F18" s="10" t="n">
        <x:v>1</x:v>
      </x:c>
      <x:c r="G18" s="10" t="str">
        <x:v>永久兑换</x:v>
      </x:c>
      <x:c r="H18" s="10" t="str">
        <x:v>已拥有不允许再兑换</x:v>
      </x:c>
      <x:c r="I18" s="10" t="str">
        <x:v>不要求抽过该物品</x:v>
      </x:c>
      <x:c r="J18" s="10" t="str">
        <x:v>M3</x:v>
      </x:c>
    </x:row>
    <x:row r="19" ht="48" customHeight="1">
      <x:c r="A19" s="9" t="str">
        <x:v>SHOP_COS_09_5</x:v>
      </x:c>
      <x:c r="B19" s="9" t="str">
        <x:v>COS_09_5</x:v>
      </x:c>
      <x:c r="C19" s="9" t="str">
        <x:v>云鲸漫游·流影</x:v>
      </x:c>
      <x:c r="D19" s="9" t="str">
        <x:v>星晶</x:v>
      </x:c>
      <x:c r="E19" s="9" t="n">
        <x:v>980</x:v>
      </x:c>
      <x:c r="F19" s="9" t="n">
        <x:v>1</x:v>
      </x:c>
      <x:c r="G19" s="9" t="str">
        <x:v>永久直购</x:v>
      </x:c>
      <x:c r="H19" s="9" t="str">
        <x:v>已拥有不允许再购买</x:v>
      </x:c>
      <x:c r="I19" s="9" t="str">
        <x:v>同主题上线即开放</x:v>
      </x:c>
      <x:c r="J19" s="9" t="str">
        <x:v>M3</x:v>
      </x:c>
    </x:row>
    <x:row r="20" ht="48" customHeight="1">
      <x:c r="A20" s="10" t="str">
        <x:v>DUST_COS_09_5</x:v>
      </x:c>
      <x:c r="B20" s="10" t="str">
        <x:v>COS_09_5</x:v>
      </x:c>
      <x:c r="C20" s="10" t="str">
        <x:v>云鲸漫游·流影</x:v>
      </x:c>
      <x:c r="D20" s="10" t="str">
        <x:v>星屑</x:v>
      </x:c>
      <x:c r="E20" s="10" t="n">
        <x:v>160</x:v>
      </x:c>
      <x:c r="F20" s="10" t="n">
        <x:v>1</x:v>
      </x:c>
      <x:c r="G20" s="10" t="str">
        <x:v>永久兑换</x:v>
      </x:c>
      <x:c r="H20" s="10" t="str">
        <x:v>已拥有不允许再兑换</x:v>
      </x:c>
      <x:c r="I20" s="10" t="str">
        <x:v>不要求抽过该物品</x:v>
      </x:c>
      <x:c r="J20" s="10" t="str">
        <x:v>M3</x:v>
      </x:c>
    </x:row>
    <x:row r="21" ht="48" customHeight="1">
      <x:c r="A21" s="9" t="str">
        <x:v>SHOP_COS_12_4</x:v>
      </x:c>
      <x:c r="B21" s="9" t="str">
        <x:v>COS_12_4</x:v>
      </x:c>
      <x:c r="C21" s="9" t="str">
        <x:v>极光旅人·来访</x:v>
      </x:c>
      <x:c r="D21" s="9" t="str">
        <x:v>星晶</x:v>
      </x:c>
      <x:c r="E21" s="9" t="n">
        <x:v>980</x:v>
      </x:c>
      <x:c r="F21" s="9" t="n">
        <x:v>1</x:v>
      </x:c>
      <x:c r="G21" s="9" t="str">
        <x:v>永久直购</x:v>
      </x:c>
      <x:c r="H21" s="9" t="str">
        <x:v>已拥有不允许再购买</x:v>
      </x:c>
      <x:c r="I21" s="9" t="str">
        <x:v>同主题上线即开放</x:v>
      </x:c>
      <x:c r="J21" s="9" t="str">
        <x:v>M4</x:v>
      </x:c>
    </x:row>
    <x:row r="22" ht="48" customHeight="1">
      <x:c r="A22" s="10" t="str">
        <x:v>DUST_COS_12_4</x:v>
      </x:c>
      <x:c r="B22" s="10" t="str">
        <x:v>COS_12_4</x:v>
      </x:c>
      <x:c r="C22" s="10" t="str">
        <x:v>极光旅人·来访</x:v>
      </x:c>
      <x:c r="D22" s="10" t="str">
        <x:v>星屑</x:v>
      </x:c>
      <x:c r="E22" s="10" t="n">
        <x:v>160</x:v>
      </x:c>
      <x:c r="F22" s="10" t="n">
        <x:v>1</x:v>
      </x:c>
      <x:c r="G22" s="10" t="str">
        <x:v>永久兑换</x:v>
      </x:c>
      <x:c r="H22" s="10" t="str">
        <x:v>已拥有不允许再兑换</x:v>
      </x:c>
      <x:c r="I22" s="10" t="str">
        <x:v>不要求抽过该物品</x:v>
      </x:c>
      <x:c r="J22" s="10" t="str">
        <x:v>M4</x:v>
      </x:c>
    </x:row>
    <x:row r="23" ht="48" customHeight="1">
      <x:c r="A23" s="9" t="str">
        <x:v>SHOP_COS_12_5</x:v>
      </x:c>
      <x:c r="B23" s="9" t="str">
        <x:v>COS_12_5</x:v>
      </x:c>
      <x:c r="C23" s="9" t="str">
        <x:v>极光旅人·流影</x:v>
      </x:c>
      <x:c r="D23" s="9" t="str">
        <x:v>星晶</x:v>
      </x:c>
      <x:c r="E23" s="9" t="n">
        <x:v>980</x:v>
      </x:c>
      <x:c r="F23" s="9" t="n">
        <x:v>1</x:v>
      </x:c>
      <x:c r="G23" s="9" t="str">
        <x:v>永久直购</x:v>
      </x:c>
      <x:c r="H23" s="9" t="str">
        <x:v>已拥有不允许再购买</x:v>
      </x:c>
      <x:c r="I23" s="9" t="str">
        <x:v>同主题上线即开放</x:v>
      </x:c>
      <x:c r="J23" s="9" t="str">
        <x:v>M4</x:v>
      </x:c>
    </x:row>
    <x:row r="24" ht="48" customHeight="1">
      <x:c r="A24" s="10" t="str">
        <x:v>DUST_COS_12_5</x:v>
      </x:c>
      <x:c r="B24" s="10" t="str">
        <x:v>COS_12_5</x:v>
      </x:c>
      <x:c r="C24" s="10" t="str">
        <x:v>极光旅人·流影</x:v>
      </x:c>
      <x:c r="D24" s="10" t="str">
        <x:v>星屑</x:v>
      </x:c>
      <x:c r="E24" s="10" t="n">
        <x:v>160</x:v>
      </x:c>
      <x:c r="F24" s="10" t="n">
        <x:v>1</x:v>
      </x:c>
      <x:c r="G24" s="10" t="str">
        <x:v>永久兑换</x:v>
      </x:c>
      <x:c r="H24" s="10" t="str">
        <x:v>已拥有不允许再兑换</x:v>
      </x:c>
      <x:c r="I24" s="10" t="str">
        <x:v>不要求抽过该物品</x:v>
      </x:c>
      <x:c r="J24" s="10" t="str">
        <x:v>M4</x:v>
      </x:c>
    </x:row>
    <x:row r="25" ht="48" customHeight="1">
      <x:c r="A25" s="9" t="str">
        <x:v>SHOP_F_01_1</x:v>
      </x:c>
      <x:c r="B25" s="9" t="str">
        <x:v>F_01_1</x:v>
      </x:c>
      <x:c r="C25" s="9" t="str">
        <x:v>雨巷矮凳</x:v>
      </x:c>
      <x:c r="D25" s="9" t="str">
        <x:v>花园币</x:v>
      </x:c>
      <x:c r="E25" s="9" t="n">
        <x:v>180</x:v>
      </x:c>
      <x:c r="F25" s="9" t="n">
        <x:v>2</x:v>
      </x:c>
      <x:c r="G25" s="9" t="str">
        <x:v>主题常驻</x:v>
      </x:c>
      <x:c r="H25" s="9" t="str">
        <x:v>超过2件须确认摆放需要</x:v>
      </x:c>
      <x:c r="I25" s="9" t="str">
        <x:v>地区免费件须首访；星晶件无需旅行门槛</x:v>
      </x:c>
      <x:c r="J25" s="9" t="str">
        <x:v>首发</x:v>
      </x:c>
    </x:row>
    <x:row r="26" ht="48" customHeight="1">
      <x:c r="A26" s="10" t="str">
        <x:v>SHOP_F_01_2</x:v>
      </x:c>
      <x:c r="B26" s="10" t="str">
        <x:v>F_01_2</x:v>
      </x:c>
      <x:c r="C26" s="10" t="str">
        <x:v>青瓷落地灯</x:v>
      </x:c>
      <x:c r="D26" s="10" t="str">
        <x:v>花园币</x:v>
      </x:c>
      <x:c r="E26" s="10" t="n">
        <x:v>360</x:v>
      </x:c>
      <x:c r="F26" s="10" t="n">
        <x:v>2</x:v>
      </x:c>
      <x:c r="G26" s="10" t="str">
        <x:v>主题常驻</x:v>
      </x:c>
      <x:c r="H26" s="10" t="str">
        <x:v>超过2件须确认摆放需要</x:v>
      </x:c>
      <x:c r="I26" s="10" t="str">
        <x:v>地区免费件须首访；星晶件无需旅行门槛</x:v>
      </x:c>
      <x:c r="J26" s="10" t="str">
        <x:v>首发</x:v>
      </x:c>
    </x:row>
    <x:row r="27" ht="48" customHeight="1">
      <x:c r="A27" s="9" t="str">
        <x:v>SHOP_F_01_3</x:v>
      </x:c>
      <x:c r="B27" s="9" t="str">
        <x:v>F_01_3</x:v>
      </x:c>
      <x:c r="C27" s="9" t="str">
        <x:v>水纹茶几</x:v>
      </x:c>
      <x:c r="D27" s="9" t="str">
        <x:v>花园币</x:v>
      </x:c>
      <x:c r="E27" s="9" t="n">
        <x:v>600</x:v>
      </x:c>
      <x:c r="F27" s="9" t="n">
        <x:v>2</x:v>
      </x:c>
      <x:c r="G27" s="9" t="str">
        <x:v>主题常驻</x:v>
      </x:c>
      <x:c r="H27" s="9" t="str">
        <x:v>超过2件须确认摆放需要</x:v>
      </x:c>
      <x:c r="I27" s="9" t="str">
        <x:v>地区免费件须首访；星晶件无需旅行门槛</x:v>
      </x:c>
      <x:c r="J27" s="9" t="str">
        <x:v>首发</x:v>
      </x:c>
    </x:row>
    <x:row r="28" ht="48" customHeight="1">
      <x:c r="A28" s="10" t="str">
        <x:v>SHOP_F_02_1</x:v>
      </x:c>
      <x:c r="B28" s="10" t="str">
        <x:v>F_02_1</x:v>
      </x:c>
      <x:c r="C28" s="10" t="str">
        <x:v>竹编坐墩</x:v>
      </x:c>
      <x:c r="D28" s="10" t="str">
        <x:v>花园币</x:v>
      </x:c>
      <x:c r="E28" s="10" t="n">
        <x:v>180</x:v>
      </x:c>
      <x:c r="F28" s="10" t="n">
        <x:v>2</x:v>
      </x:c>
      <x:c r="G28" s="10" t="str">
        <x:v>主题常驻</x:v>
      </x:c>
      <x:c r="H28" s="10" t="str">
        <x:v>超过2件须确认摆放需要</x:v>
      </x:c>
      <x:c r="I28" s="10" t="str">
        <x:v>地区免费件须首访；星晶件无需旅行门槛</x:v>
      </x:c>
      <x:c r="J28" s="10" t="str">
        <x:v>首发</x:v>
      </x:c>
    </x:row>
    <x:row r="29" ht="48" customHeight="1">
      <x:c r="A29" s="9" t="str">
        <x:v>SHOP_F_02_2</x:v>
      </x:c>
      <x:c r="B29" s="9" t="str">
        <x:v>F_02_2</x:v>
      </x:c>
      <x:c r="C29" s="9" t="str">
        <x:v>茶芽立灯</x:v>
      </x:c>
      <x:c r="D29" s="9" t="str">
        <x:v>花园币</x:v>
      </x:c>
      <x:c r="E29" s="9" t="n">
        <x:v>360</x:v>
      </x:c>
      <x:c r="F29" s="9" t="n">
        <x:v>2</x:v>
      </x:c>
      <x:c r="G29" s="9" t="str">
        <x:v>主题常驻</x:v>
      </x:c>
      <x:c r="H29" s="9" t="str">
        <x:v>超过2件须确认摆放需要</x:v>
      </x:c>
      <x:c r="I29" s="9" t="str">
        <x:v>地区免费件须首访；星晶件无需旅行门槛</x:v>
      </x:c>
      <x:c r="J29" s="9" t="str">
        <x:v>首发</x:v>
      </x:c>
    </x:row>
    <x:row r="30" ht="48" customHeight="1">
      <x:c r="A30" s="10" t="str">
        <x:v>SHOP_F_02_3</x:v>
      </x:c>
      <x:c r="B30" s="10" t="str">
        <x:v>F_02_3</x:v>
      </x:c>
      <x:c r="C30" s="10" t="str">
        <x:v>竹节方几</x:v>
      </x:c>
      <x:c r="D30" s="10" t="str">
        <x:v>花园币</x:v>
      </x:c>
      <x:c r="E30" s="10" t="n">
        <x:v>600</x:v>
      </x:c>
      <x:c r="F30" s="10" t="n">
        <x:v>2</x:v>
      </x:c>
      <x:c r="G30" s="10" t="str">
        <x:v>主题常驻</x:v>
      </x:c>
      <x:c r="H30" s="10" t="str">
        <x:v>超过2件须确认摆放需要</x:v>
      </x:c>
      <x:c r="I30" s="10" t="str">
        <x:v>地区免费件须首访；星晶件无需旅行门槛</x:v>
      </x:c>
      <x:c r="J30" s="10" t="str">
        <x:v>首发</x:v>
      </x:c>
    </x:row>
    <x:row r="31" ht="48" customHeight="1">
      <x:c r="A31" s="9" t="str">
        <x:v>SHOP_F_02_4</x:v>
      </x:c>
      <x:c r="B31" s="9" t="str">
        <x:v>F_02_4</x:v>
      </x:c>
      <x:c r="C31" s="9" t="str">
        <x:v>茶山长椅</x:v>
      </x:c>
      <x:c r="D31" s="9" t="str">
        <x:v>花园币</x:v>
      </x:c>
      <x:c r="E31" s="9" t="n">
        <x:v>900</x:v>
      </x:c>
      <x:c r="F31" s="9" t="n">
        <x:v>2</x:v>
      </x:c>
      <x:c r="G31" s="9" t="str">
        <x:v>主题常驻</x:v>
      </x:c>
      <x:c r="H31" s="9" t="str">
        <x:v>超过2件须确认摆放需要</x:v>
      </x:c>
      <x:c r="I31" s="9" t="str">
        <x:v>地区免费件须首访；星晶件无需旅行门槛</x:v>
      </x:c>
      <x:c r="J31" s="9" t="str">
        <x:v>首发</x:v>
      </x:c>
    </x:row>
    <x:row r="32" ht="48" customHeight="1">
      <x:c r="A32" s="10" t="str">
        <x:v>SHOP_F_02_5</x:v>
      </x:c>
      <x:c r="B32" s="10" t="str">
        <x:v>F_02_5</x:v>
      </x:c>
      <x:c r="C32" s="10" t="str">
        <x:v>茶罐竹架</x:v>
      </x:c>
      <x:c r="D32" s="10" t="str">
        <x:v>花园币</x:v>
      </x:c>
      <x:c r="E32" s="10" t="n">
        <x:v>1200</x:v>
      </x:c>
      <x:c r="F32" s="10" t="n">
        <x:v>2</x:v>
      </x:c>
      <x:c r="G32" s="10" t="str">
        <x:v>主题常驻</x:v>
      </x:c>
      <x:c r="H32" s="10" t="str">
        <x:v>超过2件须确认摆放需要</x:v>
      </x:c>
      <x:c r="I32" s="10" t="str">
        <x:v>地区免费件须首访；星晶件无需旅行门槛</x:v>
      </x:c>
      <x:c r="J32" s="10" t="str">
        <x:v>首发</x:v>
      </x:c>
    </x:row>
    <x:row r="33" ht="48" customHeight="1">
      <x:c r="A33" s="9" t="str">
        <x:v>SHOP_F_02_6</x:v>
      </x:c>
      <x:c r="B33" s="9" t="str">
        <x:v>F_02_6</x:v>
      </x:c>
      <x:c r="C33" s="9" t="str">
        <x:v>山茶挂画</x:v>
      </x:c>
      <x:c r="D33" s="9" t="str">
        <x:v>花园币</x:v>
      </x:c>
      <x:c r="E33" s="9" t="n">
        <x:v>1800</x:v>
      </x:c>
      <x:c r="F33" s="9" t="n">
        <x:v>2</x:v>
      </x:c>
      <x:c r="G33" s="9" t="str">
        <x:v>主题常驻</x:v>
      </x:c>
      <x:c r="H33" s="9" t="str">
        <x:v>超过2件须确认摆放需要</x:v>
      </x:c>
      <x:c r="I33" s="9" t="str">
        <x:v>地区免费件须首访；星晶件无需旅行门槛</x:v>
      </x:c>
      <x:c r="J33" s="9" t="str">
        <x:v>首发</x:v>
      </x:c>
    </x:row>
    <x:row r="34" ht="48" customHeight="1">
      <x:c r="A34" s="10" t="str">
        <x:v>SHOP_F_02_7</x:v>
      </x:c>
      <x:c r="B34" s="10" t="str">
        <x:v>F_02_7</x:v>
      </x:c>
      <x:c r="C34" s="10" t="str">
        <x:v>竹影草席</x:v>
      </x:c>
      <x:c r="D34" s="10" t="str">
        <x:v>花园币</x:v>
      </x:c>
      <x:c r="E34" s="10" t="n">
        <x:v>4000</x:v>
      </x:c>
      <x:c r="F34" s="10" t="n">
        <x:v>2</x:v>
      </x:c>
      <x:c r="G34" s="10" t="str">
        <x:v>主题常驻</x:v>
      </x:c>
      <x:c r="H34" s="10" t="str">
        <x:v>超过2件须确认摆放需要</x:v>
      </x:c>
      <x:c r="I34" s="10" t="str">
        <x:v>地区免费件须首访；星晶件无需旅行门槛</x:v>
      </x:c>
      <x:c r="J34" s="10" t="str">
        <x:v>首发</x:v>
      </x:c>
    </x:row>
    <x:row r="35" ht="48" customHeight="1">
      <x:c r="A35" s="9" t="str">
        <x:v>SHOP_F_02_8</x:v>
      </x:c>
      <x:c r="B35" s="9" t="str">
        <x:v>F_02_8</x:v>
      </x:c>
      <x:c r="C35" s="9" t="str">
        <x:v>雾山窗景</x:v>
      </x:c>
      <x:c r="D35" s="9" t="str">
        <x:v>花园币</x:v>
      </x:c>
      <x:c r="E35" s="9" t="n">
        <x:v>6000</x:v>
      </x:c>
      <x:c r="F35" s="9" t="n">
        <x:v>2</x:v>
      </x:c>
      <x:c r="G35" s="9" t="str">
        <x:v>主题常驻</x:v>
      </x:c>
      <x:c r="H35" s="9" t="str">
        <x:v>超过2件须确认摆放需要</x:v>
      </x:c>
      <x:c r="I35" s="9" t="str">
        <x:v>地区免费件须首访；星晶件无需旅行门槛</x:v>
      </x:c>
      <x:c r="J35" s="9" t="str">
        <x:v>首发</x:v>
      </x:c>
    </x:row>
    <x:row r="36" ht="48" customHeight="1">
      <x:c r="A36" s="10" t="str">
        <x:v>SHOP_F_04_1</x:v>
      </x:c>
      <x:c r="B36" s="10" t="str">
        <x:v>F_04_1</x:v>
      </x:c>
      <x:c r="C36" s="10" t="str">
        <x:v>毛绒矮凳</x:v>
      </x:c>
      <x:c r="D36" s="10" t="str">
        <x:v>花园币</x:v>
      </x:c>
      <x:c r="E36" s="10" t="n">
        <x:v>180</x:v>
      </x:c>
      <x:c r="F36" s="10" t="n">
        <x:v>2</x:v>
      </x:c>
      <x:c r="G36" s="10" t="str">
        <x:v>主题常驻</x:v>
      </x:c>
      <x:c r="H36" s="10" t="str">
        <x:v>超过2件须确认摆放需要</x:v>
      </x:c>
      <x:c r="I36" s="10" t="str">
        <x:v>地区免费件须首访；星晶件无需旅行门槛</x:v>
      </x:c>
      <x:c r="J36" s="10" t="str">
        <x:v>首发</x:v>
      </x:c>
    </x:row>
    <x:row r="37" ht="48" customHeight="1">
      <x:c r="A37" s="9" t="str">
        <x:v>SHOP_F_04_2</x:v>
      </x:c>
      <x:c r="B37" s="9" t="str">
        <x:v>F_04_2</x:v>
      </x:c>
      <x:c r="C37" s="9" t="str">
        <x:v>雪晶立灯</x:v>
      </x:c>
      <x:c r="D37" s="9" t="str">
        <x:v>花园币</x:v>
      </x:c>
      <x:c r="E37" s="9" t="n">
        <x:v>360</x:v>
      </x:c>
      <x:c r="F37" s="9" t="n">
        <x:v>2</x:v>
      </x:c>
      <x:c r="G37" s="9" t="str">
        <x:v>主题常驻</x:v>
      </x:c>
      <x:c r="H37" s="9" t="str">
        <x:v>超过2件须确认摆放需要</x:v>
      </x:c>
      <x:c r="I37" s="9" t="str">
        <x:v>地区免费件须首访；星晶件无需旅行门槛</x:v>
      </x:c>
      <x:c r="J37" s="9" t="str">
        <x:v>首发</x:v>
      </x:c>
    </x:row>
    <x:row r="38" ht="48" customHeight="1">
      <x:c r="A38" s="10" t="str">
        <x:v>SHOP_F_04_3</x:v>
      </x:c>
      <x:c r="B38" s="10" t="str">
        <x:v>F_04_3</x:v>
      </x:c>
      <x:c r="C38" s="10" t="str">
        <x:v>松木茶几</x:v>
      </x:c>
      <x:c r="D38" s="10" t="str">
        <x:v>花园币</x:v>
      </x:c>
      <x:c r="E38" s="10" t="n">
        <x:v>600</x:v>
      </x:c>
      <x:c r="F38" s="10" t="n">
        <x:v>2</x:v>
      </x:c>
      <x:c r="G38" s="10" t="str">
        <x:v>主题常驻</x:v>
      </x:c>
      <x:c r="H38" s="10" t="str">
        <x:v>超过2件须确认摆放需要</x:v>
      </x:c>
      <x:c r="I38" s="10" t="str">
        <x:v>地区免费件须首访；星晶件无需旅行门槛</x:v>
      </x:c>
      <x:c r="J38" s="10" t="str">
        <x:v>首发</x:v>
      </x:c>
    </x:row>
    <x:row r="39" ht="48" customHeight="1">
      <x:c r="A39" s="9" t="str">
        <x:v>SHOP_F_05_1</x:v>
      </x:c>
      <x:c r="B39" s="9" t="str">
        <x:v>F_05_1</x:v>
      </x:c>
      <x:c r="C39" s="9" t="str">
        <x:v>玫瑰圆凳</x:v>
      </x:c>
      <x:c r="D39" s="9" t="str">
        <x:v>花园币</x:v>
      </x:c>
      <x:c r="E39" s="9" t="n">
        <x:v>180</x:v>
      </x:c>
      <x:c r="F39" s="9" t="n">
        <x:v>2</x:v>
      </x:c>
      <x:c r="G39" s="9" t="str">
        <x:v>主题常驻</x:v>
      </x:c>
      <x:c r="H39" s="9" t="str">
        <x:v>超过2件须确认摆放需要</x:v>
      </x:c>
      <x:c r="I39" s="9" t="str">
        <x:v>地区免费件须首访；星晶件无需旅行门槛</x:v>
      </x:c>
      <x:c r="J39" s="9" t="str">
        <x:v>首发</x:v>
      </x:c>
    </x:row>
    <x:row r="40" ht="48" customHeight="1">
      <x:c r="A40" s="10" t="str">
        <x:v>SHOP_F_05_2</x:v>
      </x:c>
      <x:c r="B40" s="10" t="str">
        <x:v>F_05_2</x:v>
      </x:c>
      <x:c r="C40" s="10" t="str">
        <x:v>花蕾立灯</x:v>
      </x:c>
      <x:c r="D40" s="10" t="str">
        <x:v>花园币</x:v>
      </x:c>
      <x:c r="E40" s="10" t="n">
        <x:v>360</x:v>
      </x:c>
      <x:c r="F40" s="10" t="n">
        <x:v>2</x:v>
      </x:c>
      <x:c r="G40" s="10" t="str">
        <x:v>主题常驻</x:v>
      </x:c>
      <x:c r="H40" s="10" t="str">
        <x:v>超过2件须确认摆放需要</x:v>
      </x:c>
      <x:c r="I40" s="10" t="str">
        <x:v>地区免费件须首访；星晶件无需旅行门槛</x:v>
      </x:c>
      <x:c r="J40" s="10" t="str">
        <x:v>首发</x:v>
      </x:c>
    </x:row>
    <x:row r="41" ht="48" customHeight="1">
      <x:c r="A41" s="9" t="str">
        <x:v>SHOP_F_05_3</x:v>
      </x:c>
      <x:c r="B41" s="9" t="str">
        <x:v>F_05_3</x:v>
      </x:c>
      <x:c r="C41" s="9" t="str">
        <x:v>圆弧茶几</x:v>
      </x:c>
      <x:c r="D41" s="9" t="str">
        <x:v>花园币</x:v>
      </x:c>
      <x:c r="E41" s="9" t="n">
        <x:v>600</x:v>
      </x:c>
      <x:c r="F41" s="9" t="n">
        <x:v>2</x:v>
      </x:c>
      <x:c r="G41" s="9" t="str">
        <x:v>主题常驻</x:v>
      </x:c>
      <x:c r="H41" s="9" t="str">
        <x:v>超过2件须确认摆放需要</x:v>
      </x:c>
      <x:c r="I41" s="9" t="str">
        <x:v>地区免费件须首访；星晶件无需旅行门槛</x:v>
      </x:c>
      <x:c r="J41" s="9" t="str">
        <x:v>首发</x:v>
      </x:c>
    </x:row>
    <x:row r="42" ht="48" customHeight="1">
      <x:c r="A42" s="10" t="str">
        <x:v>SHOP_F_05_4</x:v>
      </x:c>
      <x:c r="B42" s="10" t="str">
        <x:v>F_05_4</x:v>
      </x:c>
      <x:c r="C42" s="10" t="str">
        <x:v>丝绒双人椅</x:v>
      </x:c>
      <x:c r="D42" s="10" t="str">
        <x:v>花园币</x:v>
      </x:c>
      <x:c r="E42" s="10" t="n">
        <x:v>900</x:v>
      </x:c>
      <x:c r="F42" s="10" t="n">
        <x:v>2</x:v>
      </x:c>
      <x:c r="G42" s="10" t="str">
        <x:v>主题常驻</x:v>
      </x:c>
      <x:c r="H42" s="10" t="str">
        <x:v>超过2件须确认摆放需要</x:v>
      </x:c>
      <x:c r="I42" s="10" t="str">
        <x:v>地区免费件须首访；星晶件无需旅行门槛</x:v>
      </x:c>
      <x:c r="J42" s="10" t="str">
        <x:v>首发</x:v>
      </x:c>
    </x:row>
    <x:row r="43" ht="48" customHeight="1">
      <x:c r="A43" s="9" t="str">
        <x:v>SHOP_F_05_5</x:v>
      </x:c>
      <x:c r="B43" s="9" t="str">
        <x:v>F_05_5</x:v>
      </x:c>
      <x:c r="C43" s="9" t="str">
        <x:v>花街书柜</x:v>
      </x:c>
      <x:c r="D43" s="9" t="str">
        <x:v>花园币</x:v>
      </x:c>
      <x:c r="E43" s="9" t="n">
        <x:v>1200</x:v>
      </x:c>
      <x:c r="F43" s="9" t="n">
        <x:v>2</x:v>
      </x:c>
      <x:c r="G43" s="9" t="str">
        <x:v>主题常驻</x:v>
      </x:c>
      <x:c r="H43" s="9" t="str">
        <x:v>超过2件须确认摆放需要</x:v>
      </x:c>
      <x:c r="I43" s="9" t="str">
        <x:v>地区免费件须首访；星晶件无需旅行门槛</x:v>
      </x:c>
      <x:c r="J43" s="9" t="str">
        <x:v>首发</x:v>
      </x:c>
    </x:row>
    <x:row r="44" ht="48" customHeight="1">
      <x:c r="A44" s="10" t="str">
        <x:v>SHOP_F_05_6</x:v>
      </x:c>
      <x:c r="B44" s="10" t="str">
        <x:v>F_05_6</x:v>
      </x:c>
      <x:c r="C44" s="10" t="str">
        <x:v>鸢尾挂画</x:v>
      </x:c>
      <x:c r="D44" s="10" t="str">
        <x:v>花园币</x:v>
      </x:c>
      <x:c r="E44" s="10" t="n">
        <x:v>1800</x:v>
      </x:c>
      <x:c r="F44" s="10" t="n">
        <x:v>2</x:v>
      </x:c>
      <x:c r="G44" s="10" t="str">
        <x:v>主题常驻</x:v>
      </x:c>
      <x:c r="H44" s="10" t="str">
        <x:v>超过2件须确认摆放需要</x:v>
      </x:c>
      <x:c r="I44" s="10" t="str">
        <x:v>地区免费件须首访；星晶件无需旅行门槛</x:v>
      </x:c>
      <x:c r="J44" s="10" t="str">
        <x:v>首发</x:v>
      </x:c>
    </x:row>
    <x:row r="45" ht="48" customHeight="1">
      <x:c r="A45" s="9" t="str">
        <x:v>SHOP_F_05_7</x:v>
      </x:c>
      <x:c r="B45" s="9" t="str">
        <x:v>F_05_7</x:v>
      </x:c>
      <x:c r="C45" s="9" t="str">
        <x:v>花街编织毯</x:v>
      </x:c>
      <x:c r="D45" s="9" t="str">
        <x:v>花园币</x:v>
      </x:c>
      <x:c r="E45" s="9" t="n">
        <x:v>4000</x:v>
      </x:c>
      <x:c r="F45" s="9" t="n">
        <x:v>2</x:v>
      </x:c>
      <x:c r="G45" s="9" t="str">
        <x:v>主题常驻</x:v>
      </x:c>
      <x:c r="H45" s="9" t="str">
        <x:v>超过2件须确认摆放需要</x:v>
      </x:c>
      <x:c r="I45" s="9" t="str">
        <x:v>地区免费件须首访；星晶件无需旅行门槛</x:v>
      </x:c>
      <x:c r="J45" s="9" t="str">
        <x:v>首发</x:v>
      </x:c>
    </x:row>
    <x:row r="46" ht="48" customHeight="1">
      <x:c r="A46" s="10" t="str">
        <x:v>SHOP_F_05_8</x:v>
      </x:c>
      <x:c r="B46" s="10" t="str">
        <x:v>F_05_8</x:v>
      </x:c>
      <x:c r="C46" s="10" t="str">
        <x:v>午后花窗</x:v>
      </x:c>
      <x:c r="D46" s="10" t="str">
        <x:v>花园币</x:v>
      </x:c>
      <x:c r="E46" s="10" t="n">
        <x:v>6000</x:v>
      </x:c>
      <x:c r="F46" s="10" t="n">
        <x:v>2</x:v>
      </x:c>
      <x:c r="G46" s="10" t="str">
        <x:v>主题常驻</x:v>
      </x:c>
      <x:c r="H46" s="10" t="str">
        <x:v>超过2件须确认摆放需要</x:v>
      </x:c>
      <x:c r="I46" s="10" t="str">
        <x:v>地区免费件须首访；星晶件无需旅行门槛</x:v>
      </x:c>
      <x:c r="J46" s="10" t="str">
        <x:v>首发</x:v>
      </x:c>
    </x:row>
    <x:row r="47" ht="48" customHeight="1">
      <x:c r="A47" s="9" t="str">
        <x:v>SHOP_F_06_1</x:v>
      </x:c>
      <x:c r="B47" s="9" t="str">
        <x:v>F_06_1</x:v>
      </x:c>
      <x:c r="C47" s="9" t="str">
        <x:v>麦穗软凳</x:v>
      </x:c>
      <x:c r="D47" s="9" t="str">
        <x:v>花园币</x:v>
      </x:c>
      <x:c r="E47" s="9" t="n">
        <x:v>180</x:v>
      </x:c>
      <x:c r="F47" s="9" t="n">
        <x:v>2</x:v>
      </x:c>
      <x:c r="G47" s="9" t="str">
        <x:v>主题常驻</x:v>
      </x:c>
      <x:c r="H47" s="9" t="str">
        <x:v>超过2件须确认摆放需要</x:v>
      </x:c>
      <x:c r="I47" s="9" t="str">
        <x:v>地区免费件须首访；星晶件无需旅行门槛</x:v>
      </x:c>
      <x:c r="J47" s="9" t="str">
        <x:v>首发</x:v>
      </x:c>
    </x:row>
    <x:row r="48" ht="48" customHeight="1">
      <x:c r="A48" s="10" t="str">
        <x:v>SHOP_F_06_2</x:v>
      </x:c>
      <x:c r="B48" s="10" t="str">
        <x:v>F_06_2</x:v>
      </x:c>
      <x:c r="C48" s="10" t="str">
        <x:v>紫穗风灯</x:v>
      </x:c>
      <x:c r="D48" s="10" t="str">
        <x:v>花园币</x:v>
      </x:c>
      <x:c r="E48" s="10" t="n">
        <x:v>360</x:v>
      </x:c>
      <x:c r="F48" s="10" t="n">
        <x:v>2</x:v>
      </x:c>
      <x:c r="G48" s="10" t="str">
        <x:v>主题常驻</x:v>
      </x:c>
      <x:c r="H48" s="10" t="str">
        <x:v>超过2件须确认摆放需要</x:v>
      </x:c>
      <x:c r="I48" s="10" t="str">
        <x:v>地区免费件须首访；星晶件无需旅行门槛</x:v>
      </x:c>
      <x:c r="J48" s="10" t="str">
        <x:v>首发</x:v>
      </x:c>
    </x:row>
    <x:row r="49" ht="48" customHeight="1">
      <x:c r="A49" s="9" t="str">
        <x:v>SHOP_F_06_3</x:v>
      </x:c>
      <x:c r="B49" s="9" t="str">
        <x:v>F_06_3</x:v>
      </x:c>
      <x:c r="C49" s="9" t="str">
        <x:v>田园方桌</x:v>
      </x:c>
      <x:c r="D49" s="9" t="str">
        <x:v>花园币</x:v>
      </x:c>
      <x:c r="E49" s="9" t="n">
        <x:v>600</x:v>
      </x:c>
      <x:c r="F49" s="9" t="n">
        <x:v>2</x:v>
      </x:c>
      <x:c r="G49" s="9" t="str">
        <x:v>主题常驻</x:v>
      </x:c>
      <x:c r="H49" s="9" t="str">
        <x:v>超过2件须确认摆放需要</x:v>
      </x:c>
      <x:c r="I49" s="9" t="str">
        <x:v>地区免费件须首访；星晶件无需旅行门槛</x:v>
      </x:c>
      <x:c r="J49" s="9" t="str">
        <x:v>首发</x:v>
      </x:c>
    </x:row>
    <x:row r="50" ht="48" customHeight="1">
      <x:c r="A50" s="10" t="str">
        <x:v>SHOP_F_08_1</x:v>
      </x:c>
      <x:c r="B50" s="10" t="str">
        <x:v>F_08_1</x:v>
      </x:c>
      <x:c r="C50" s="10" t="str">
        <x:v>山石矮凳</x:v>
      </x:c>
      <x:c r="D50" s="10" t="str">
        <x:v>花园币</x:v>
      </x:c>
      <x:c r="E50" s="10" t="n">
        <x:v>180</x:v>
      </x:c>
      <x:c r="F50" s="10" t="n">
        <x:v>2</x:v>
      </x:c>
      <x:c r="G50" s="10" t="str">
        <x:v>主题常驻</x:v>
      </x:c>
      <x:c r="H50" s="10" t="str">
        <x:v>超过2件须确认摆放需要</x:v>
      </x:c>
      <x:c r="I50" s="10" t="str">
        <x:v>地区免费件须首访；星晶件无需旅行门槛</x:v>
      </x:c>
      <x:c r="J50" s="10" t="str">
        <x:v>首发</x:v>
      </x:c>
    </x:row>
    <x:row r="51" ht="48" customHeight="1">
      <x:c r="A51" s="9" t="str">
        <x:v>SHOP_F_08_2</x:v>
      </x:c>
      <x:c r="B51" s="9" t="str">
        <x:v>F_08_2</x:v>
      </x:c>
      <x:c r="C51" s="9" t="str">
        <x:v>雪绒立灯</x:v>
      </x:c>
      <x:c r="D51" s="9" t="str">
        <x:v>花园币</x:v>
      </x:c>
      <x:c r="E51" s="9" t="n">
        <x:v>360</x:v>
      </x:c>
      <x:c r="F51" s="9" t="n">
        <x:v>2</x:v>
      </x:c>
      <x:c r="G51" s="9" t="str">
        <x:v>主题常驻</x:v>
      </x:c>
      <x:c r="H51" s="9" t="str">
        <x:v>超过2件须确认摆放需要</x:v>
      </x:c>
      <x:c r="I51" s="9" t="str">
        <x:v>地区免费件须首访；星晶件无需旅行门槛</x:v>
      </x:c>
      <x:c r="J51" s="9" t="str">
        <x:v>首发</x:v>
      </x:c>
    </x:row>
    <x:row r="52" ht="48" customHeight="1">
      <x:c r="A52" s="10" t="str">
        <x:v>SHOP_F_08_3</x:v>
      </x:c>
      <x:c r="B52" s="10" t="str">
        <x:v>F_08_3</x:v>
      </x:c>
      <x:c r="C52" s="10" t="str">
        <x:v>松木圆几</x:v>
      </x:c>
      <x:c r="D52" s="10" t="str">
        <x:v>花园币</x:v>
      </x:c>
      <x:c r="E52" s="10" t="n">
        <x:v>600</x:v>
      </x:c>
      <x:c r="F52" s="10" t="n">
        <x:v>2</x:v>
      </x:c>
      <x:c r="G52" s="10" t="str">
        <x:v>主题常驻</x:v>
      </x:c>
      <x:c r="H52" s="10" t="str">
        <x:v>超过2件须确认摆放需要</x:v>
      </x:c>
      <x:c r="I52" s="10" t="str">
        <x:v>地区免费件须首访；星晶件无需旅行门槛</x:v>
      </x:c>
      <x:c r="J52" s="10" t="str">
        <x:v>首发</x:v>
      </x:c>
    </x:row>
    <x:row r="53" ht="48" customHeight="1">
      <x:c r="A53" s="9" t="str">
        <x:v>SHOP_F_09_1</x:v>
      </x:c>
      <x:c r="B53" s="9" t="str">
        <x:v>F_09_1</x:v>
      </x:c>
      <x:c r="C53" s="9" t="str">
        <x:v>海岸坐墩</x:v>
      </x:c>
      <x:c r="D53" s="9" t="str">
        <x:v>星晶</x:v>
      </x:c>
      <x:c r="E53" s="9" t="n">
        <x:v>120</x:v>
      </x:c>
      <x:c r="F53" s="9" t="n">
        <x:v>2</x:v>
      </x:c>
      <x:c r="G53" s="9" t="str">
        <x:v>主题常驻</x:v>
      </x:c>
      <x:c r="H53" s="9" t="str">
        <x:v>超过2件须确认摆放需要</x:v>
      </x:c>
      <x:c r="I53" s="9" t="str">
        <x:v>地区免费件须首访；星晶件无需旅行门槛</x:v>
      </x:c>
      <x:c r="J53" s="9" t="str">
        <x:v>首发</x:v>
      </x:c>
    </x:row>
    <x:row r="54" ht="48" customHeight="1">
      <x:c r="A54" s="10" t="str">
        <x:v>SHOP_F_09_2</x:v>
      </x:c>
      <x:c r="B54" s="10" t="str">
        <x:v>F_09_2</x:v>
      </x:c>
      <x:c r="C54" s="10" t="str">
        <x:v>贝光立灯</x:v>
      </x:c>
      <x:c r="D54" s="10" t="str">
        <x:v>星晶</x:v>
      </x:c>
      <x:c r="E54" s="10" t="n">
        <x:v>180</x:v>
      </x:c>
      <x:c r="F54" s="10" t="n">
        <x:v>2</x:v>
      </x:c>
      <x:c r="G54" s="10" t="str">
        <x:v>主题常驻</x:v>
      </x:c>
      <x:c r="H54" s="10" t="str">
        <x:v>超过2件须确认摆放需要</x:v>
      </x:c>
      <x:c r="I54" s="10" t="str">
        <x:v>地区免费件须首访；星晶件无需旅行门槛</x:v>
      </x:c>
      <x:c r="J54" s="10" t="str">
        <x:v>首发</x:v>
      </x:c>
    </x:row>
    <x:row r="55" ht="48" customHeight="1">
      <x:c r="A55" s="9" t="str">
        <x:v>SHOP_F_09_3</x:v>
      </x:c>
      <x:c r="B55" s="9" t="str">
        <x:v>F_09_3</x:v>
      </x:c>
      <x:c r="C55" s="9" t="str">
        <x:v>蓝瓷圆几</x:v>
      </x:c>
      <x:c r="D55" s="9" t="str">
        <x:v>星晶</x:v>
      </x:c>
      <x:c r="E55" s="9" t="n">
        <x:v>240</x:v>
      </x:c>
      <x:c r="F55" s="9" t="n">
        <x:v>2</x:v>
      </x:c>
      <x:c r="G55" s="9" t="str">
        <x:v>主题常驻</x:v>
      </x:c>
      <x:c r="H55" s="9" t="str">
        <x:v>超过2件须确认摆放需要</x:v>
      </x:c>
      <x:c r="I55" s="9" t="str">
        <x:v>地区免费件须首访；星晶件无需旅行门槛</x:v>
      </x:c>
      <x:c r="J55" s="9" t="str">
        <x:v>首发</x:v>
      </x:c>
    </x:row>
    <x:row r="56" ht="48" customHeight="1">
      <x:c r="A56" s="10" t="str">
        <x:v>SHOP_F_09_4</x:v>
      </x:c>
      <x:c r="B56" s="10" t="str">
        <x:v>F_09_4</x:v>
      </x:c>
      <x:c r="C56" s="10" t="str">
        <x:v>海风长椅</x:v>
      </x:c>
      <x:c r="D56" s="10" t="str">
        <x:v>星晶</x:v>
      </x:c>
      <x:c r="E56" s="10" t="n">
        <x:v>360</x:v>
      </x:c>
      <x:c r="F56" s="10" t="n">
        <x:v>2</x:v>
      </x:c>
      <x:c r="G56" s="10" t="str">
        <x:v>主题常驻</x:v>
      </x:c>
      <x:c r="H56" s="10" t="str">
        <x:v>超过2件须确认摆放需要</x:v>
      </x:c>
      <x:c r="I56" s="10" t="str">
        <x:v>地区免费件须首访；星晶件无需旅行门槛</x:v>
      </x:c>
      <x:c r="J56" s="10" t="str">
        <x:v>首发</x:v>
      </x:c>
    </x:row>
    <x:row r="57" ht="48" customHeight="1">
      <x:c r="A57" s="9" t="str">
        <x:v>SHOP_F_09_5</x:v>
      </x:c>
      <x:c r="B57" s="9" t="str">
        <x:v>F_09_5</x:v>
      </x:c>
      <x:c r="C57" s="9" t="str">
        <x:v>拱门展示架</x:v>
      </x:c>
      <x:c r="D57" s="9" t="str">
        <x:v>星晶</x:v>
      </x:c>
      <x:c r="E57" s="9" t="n">
        <x:v>480</x:v>
      </x:c>
      <x:c r="F57" s="9" t="n">
        <x:v>2</x:v>
      </x:c>
      <x:c r="G57" s="9" t="str">
        <x:v>主题常驻</x:v>
      </x:c>
      <x:c r="H57" s="9" t="str">
        <x:v>超过2件须确认摆放需要</x:v>
      </x:c>
      <x:c r="I57" s="9" t="str">
        <x:v>地区免费件须首访；星晶件无需旅行门槛</x:v>
      </x:c>
      <x:c r="J57" s="9" t="str">
        <x:v>首发</x:v>
      </x:c>
    </x:row>
    <x:row r="58" ht="48" customHeight="1">
      <x:c r="A58" s="10" t="str">
        <x:v>SHOP_F_09_6</x:v>
      </x:c>
      <x:c r="B58" s="10" t="str">
        <x:v>F_09_6</x:v>
      </x:c>
      <x:c r="C58" s="10" t="str">
        <x:v>浪花窗框</x:v>
      </x:c>
      <x:c r="D58" s="10" t="str">
        <x:v>星晶</x:v>
      </x:c>
      <x:c r="E58" s="10" t="n">
        <x:v>480</x:v>
      </x:c>
      <x:c r="F58" s="10" t="n">
        <x:v>2</x:v>
      </x:c>
      <x:c r="G58" s="10" t="str">
        <x:v>主题常驻</x:v>
      </x:c>
      <x:c r="H58" s="10" t="str">
        <x:v>超过2件须确认摆放需要</x:v>
      </x:c>
      <x:c r="I58" s="10" t="str">
        <x:v>地区免费件须首访；星晶件无需旅行门槛</x:v>
      </x:c>
      <x:c r="J58" s="10" t="str">
        <x:v>首发</x:v>
      </x:c>
    </x:row>
    <x:row r="59" ht="48" customHeight="1">
      <x:c r="A59" s="9" t="str">
        <x:v>SHOP_F_09_7</x:v>
      </x:c>
      <x:c r="B59" s="9" t="str">
        <x:v>F_09_7</x:v>
      </x:c>
      <x:c r="C59" s="9" t="str">
        <x:v>潮汐地毯</x:v>
      </x:c>
      <x:c r="D59" s="9" t="str">
        <x:v>星晶</x:v>
      </x:c>
      <x:c r="E59" s="9" t="n">
        <x:v>680</x:v>
      </x:c>
      <x:c r="F59" s="9" t="n">
        <x:v>2</x:v>
      </x:c>
      <x:c r="G59" s="9" t="str">
        <x:v>主题常驻</x:v>
      </x:c>
      <x:c r="H59" s="9" t="str">
        <x:v>超过2件须确认摆放需要</x:v>
      </x:c>
      <x:c r="I59" s="9" t="str">
        <x:v>地区免费件须首访；星晶件无需旅行门槛</x:v>
      </x:c>
      <x:c r="J59" s="9" t="str">
        <x:v>首发</x:v>
      </x:c>
    </x:row>
    <x:row r="60" ht="48" customHeight="1">
      <x:c r="A60" s="10" t="str">
        <x:v>SHOP_F_09_8</x:v>
      </x:c>
      <x:c r="B60" s="10" t="str">
        <x:v>F_09_8</x:v>
      </x:c>
      <x:c r="C60" s="10" t="str">
        <x:v>蓝白小喷泉</x:v>
      </x:c>
      <x:c r="D60" s="10" t="str">
        <x:v>星晶</x:v>
      </x:c>
      <x:c r="E60" s="10" t="n">
        <x:v>980</x:v>
      </x:c>
      <x:c r="F60" s="10" t="n">
        <x:v>2</x:v>
      </x:c>
      <x:c r="G60" s="10" t="str">
        <x:v>主题常驻</x:v>
      </x:c>
      <x:c r="H60" s="10" t="str">
        <x:v>超过2件须确认摆放需要</x:v>
      </x:c>
      <x:c r="I60" s="10" t="str">
        <x:v>地区免费件须首访；星晶件无需旅行门槛</x:v>
      </x:c>
      <x:c r="J60" s="10" t="str">
        <x:v>首发</x:v>
      </x:c>
    </x:row>
    <x:row r="61" ht="48" customHeight="1">
      <x:c r="A61" s="9" t="str">
        <x:v>SHOP_F_11_1</x:v>
      </x:c>
      <x:c r="B61" s="9" t="str">
        <x:v>F_11_1</x:v>
      </x:c>
      <x:c r="C61" s="9" t="str">
        <x:v>流苏坐墩</x:v>
      </x:c>
      <x:c r="D61" s="9" t="str">
        <x:v>星晶</x:v>
      </x:c>
      <x:c r="E61" s="9" t="n">
        <x:v>120</x:v>
      </x:c>
      <x:c r="F61" s="9" t="n">
        <x:v>2</x:v>
      </x:c>
      <x:c r="G61" s="9" t="str">
        <x:v>主题常驻</x:v>
      </x:c>
      <x:c r="H61" s="9" t="str">
        <x:v>超过2件须确认摆放需要</x:v>
      </x:c>
      <x:c r="I61" s="9" t="str">
        <x:v>地区免费件须首访；星晶件无需旅行门槛</x:v>
      </x:c>
      <x:c r="J61" s="9" t="str">
        <x:v>首发</x:v>
      </x:c>
    </x:row>
    <x:row r="62" ht="48" customHeight="1">
      <x:c r="A62" s="10" t="str">
        <x:v>SHOP_F_11_2</x:v>
      </x:c>
      <x:c r="B62" s="10" t="str">
        <x:v>F_11_2</x:v>
      </x:c>
      <x:c r="C62" s="10" t="str">
        <x:v>铜光落地灯</x:v>
      </x:c>
      <x:c r="D62" s="10" t="str">
        <x:v>星晶</x:v>
      </x:c>
      <x:c r="E62" s="10" t="n">
        <x:v>180</x:v>
      </x:c>
      <x:c r="F62" s="10" t="n">
        <x:v>2</x:v>
      </x:c>
      <x:c r="G62" s="10" t="str">
        <x:v>主题常驻</x:v>
      </x:c>
      <x:c r="H62" s="10" t="str">
        <x:v>超过2件须确认摆放需要</x:v>
      </x:c>
      <x:c r="I62" s="10" t="str">
        <x:v>地区免费件须首访；星晶件无需旅行门槛</x:v>
      </x:c>
      <x:c r="J62" s="10" t="str">
        <x:v>首发</x:v>
      </x:c>
    </x:row>
    <x:row r="63" ht="48" customHeight="1">
      <x:c r="A63" s="9" t="str">
        <x:v>SHOP_F_11_3</x:v>
      </x:c>
      <x:c r="B63" s="9" t="str">
        <x:v>F_11_3</x:v>
      </x:c>
      <x:c r="C63" s="9" t="str">
        <x:v>铜纹茶几</x:v>
      </x:c>
      <x:c r="D63" s="9" t="str">
        <x:v>星晶</x:v>
      </x:c>
      <x:c r="E63" s="9" t="n">
        <x:v>240</x:v>
      </x:c>
      <x:c r="F63" s="9" t="n">
        <x:v>2</x:v>
      </x:c>
      <x:c r="G63" s="9" t="str">
        <x:v>主题常驻</x:v>
      </x:c>
      <x:c r="H63" s="9" t="str">
        <x:v>超过2件须确认摆放需要</x:v>
      </x:c>
      <x:c r="I63" s="9" t="str">
        <x:v>地区免费件须首访；星晶件无需旅行门槛</x:v>
      </x:c>
      <x:c r="J63" s="9" t="str">
        <x:v>首发</x:v>
      </x:c>
    </x:row>
    <x:row r="64" ht="48" customHeight="1">
      <x:c r="A64" s="10" t="str">
        <x:v>SHOP_F_11_4</x:v>
      </x:c>
      <x:c r="B64" s="10" t="str">
        <x:v>F_11_4</x:v>
      </x:c>
      <x:c r="C64" s="10" t="str">
        <x:v>庭院长榻</x:v>
      </x:c>
      <x:c r="D64" s="10" t="str">
        <x:v>星晶</x:v>
      </x:c>
      <x:c r="E64" s="10" t="n">
        <x:v>360</x:v>
      </x:c>
      <x:c r="F64" s="10" t="n">
        <x:v>2</x:v>
      </x:c>
      <x:c r="G64" s="10" t="str">
        <x:v>主题常驻</x:v>
      </x:c>
      <x:c r="H64" s="10" t="str">
        <x:v>超过2件须确认摆放需要</x:v>
      </x:c>
      <x:c r="I64" s="10" t="str">
        <x:v>地区免费件须首访；星晶件无需旅行门槛</x:v>
      </x:c>
      <x:c r="J64" s="10" t="str">
        <x:v>首发</x:v>
      </x:c>
    </x:row>
    <x:row r="65" ht="48" customHeight="1">
      <x:c r="A65" s="9" t="str">
        <x:v>SHOP_F_11_5</x:v>
      </x:c>
      <x:c r="B65" s="9" t="str">
        <x:v>F_11_5</x:v>
      </x:c>
      <x:c r="C65" s="9" t="str">
        <x:v>镶嵌陈列柜</x:v>
      </x:c>
      <x:c r="D65" s="9" t="str">
        <x:v>星晶</x:v>
      </x:c>
      <x:c r="E65" s="9" t="n">
        <x:v>480</x:v>
      </x:c>
      <x:c r="F65" s="9" t="n">
        <x:v>2</x:v>
      </x:c>
      <x:c r="G65" s="9" t="str">
        <x:v>主题常驻</x:v>
      </x:c>
      <x:c r="H65" s="9" t="str">
        <x:v>超过2件须确认摆放需要</x:v>
      </x:c>
      <x:c r="I65" s="9" t="str">
        <x:v>地区免费件须首访；星晶件无需旅行门槛</x:v>
      </x:c>
      <x:c r="J65" s="9" t="str">
        <x:v>首发</x:v>
      </x:c>
    </x:row>
    <x:row r="66" ht="48" customHeight="1">
      <x:c r="A66" s="10" t="str">
        <x:v>SHOP_F_11_6</x:v>
      </x:c>
      <x:c r="B66" s="10" t="str">
        <x:v>F_11_6</x:v>
      </x:c>
      <x:c r="C66" s="10" t="str">
        <x:v>彩纹挂盘</x:v>
      </x:c>
      <x:c r="D66" s="10" t="str">
        <x:v>星晶</x:v>
      </x:c>
      <x:c r="E66" s="10" t="n">
        <x:v>480</x:v>
      </x:c>
      <x:c r="F66" s="10" t="n">
        <x:v>2</x:v>
      </x:c>
      <x:c r="G66" s="10" t="str">
        <x:v>主题常驻</x:v>
      </x:c>
      <x:c r="H66" s="10" t="str">
        <x:v>超过2件须确认摆放需要</x:v>
      </x:c>
      <x:c r="I66" s="10" t="str">
        <x:v>地区免费件须首访；星晶件无需旅行门槛</x:v>
      </x:c>
      <x:c r="J66" s="10" t="str">
        <x:v>首发</x:v>
      </x:c>
    </x:row>
    <x:row r="67" ht="48" customHeight="1">
      <x:c r="A67" s="9" t="str">
        <x:v>SHOP_F_11_7</x:v>
      </x:c>
      <x:c r="B67" s="9" t="str">
        <x:v>F_11_7</x:v>
      </x:c>
      <x:c r="C67" s="9" t="str">
        <x:v>几何织毯</x:v>
      </x:c>
      <x:c r="D67" s="9" t="str">
        <x:v>星晶</x:v>
      </x:c>
      <x:c r="E67" s="9" t="n">
        <x:v>680</x:v>
      </x:c>
      <x:c r="F67" s="9" t="n">
        <x:v>2</x:v>
      </x:c>
      <x:c r="G67" s="9" t="str">
        <x:v>主题常驻</x:v>
      </x:c>
      <x:c r="H67" s="9" t="str">
        <x:v>超过2件须确认摆放需要</x:v>
      </x:c>
      <x:c r="I67" s="9" t="str">
        <x:v>地区免费件须首访；星晶件无需旅行门槛</x:v>
      </x:c>
      <x:c r="J67" s="9" t="str">
        <x:v>首发</x:v>
      </x:c>
    </x:row>
    <x:row r="68" ht="48" customHeight="1">
      <x:c r="A68" s="10" t="str">
        <x:v>SHOP_F_11_8</x:v>
      </x:c>
      <x:c r="B68" s="10" t="str">
        <x:v>F_11_8</x:v>
      </x:c>
      <x:c r="C68" s="10" t="str">
        <x:v>铜光叠泉</x:v>
      </x:c>
      <x:c r="D68" s="10" t="str">
        <x:v>星晶</x:v>
      </x:c>
      <x:c r="E68" s="10" t="n">
        <x:v>980</x:v>
      </x:c>
      <x:c r="F68" s="10" t="n">
        <x:v>2</x:v>
      </x:c>
      <x:c r="G68" s="10" t="str">
        <x:v>主题常驻</x:v>
      </x:c>
      <x:c r="H68" s="10" t="str">
        <x:v>超过2件须确认摆放需要</x:v>
      </x:c>
      <x:c r="I68" s="10" t="str">
        <x:v>地区免费件须首访；星晶件无需旅行门槛</x:v>
      </x:c>
      <x:c r="J68" s="10" t="str">
        <x:v>首发</x:v>
      </x:c>
    </x:row>
    <x:row r="69" ht="48" customHeight="1">
      <x:c r="A69" s="9" t="str">
        <x:v>SHOP_F_12_1</x:v>
      </x:c>
      <x:c r="B69" s="9" t="str">
        <x:v>F_12_1</x:v>
      </x:c>
      <x:c r="C69" s="9" t="str">
        <x:v>极光软凳</x:v>
      </x:c>
      <x:c r="D69" s="9" t="str">
        <x:v>星晶</x:v>
      </x:c>
      <x:c r="E69" s="9" t="n">
        <x:v>120</x:v>
      </x:c>
      <x:c r="F69" s="9" t="n">
        <x:v>2</x:v>
      </x:c>
      <x:c r="G69" s="9" t="str">
        <x:v>主题常驻</x:v>
      </x:c>
      <x:c r="H69" s="9" t="str">
        <x:v>超过2件须确认摆放需要</x:v>
      </x:c>
      <x:c r="I69" s="9" t="str">
        <x:v>地区免费件须首访；星晶件无需旅行门槛</x:v>
      </x:c>
      <x:c r="J69" s="9" t="str">
        <x:v>首发</x:v>
      </x:c>
    </x:row>
    <x:row r="70" ht="48" customHeight="1">
      <x:c r="A70" s="10" t="str">
        <x:v>SHOP_F_12_2</x:v>
      </x:c>
      <x:c r="B70" s="10" t="str">
        <x:v>F_12_2</x:v>
      </x:c>
      <x:c r="C70" s="10" t="str">
        <x:v>星幕立灯</x:v>
      </x:c>
      <x:c r="D70" s="10" t="str">
        <x:v>星晶</x:v>
      </x:c>
      <x:c r="E70" s="10" t="n">
        <x:v>180</x:v>
      </x:c>
      <x:c r="F70" s="10" t="n">
        <x:v>2</x:v>
      </x:c>
      <x:c r="G70" s="10" t="str">
        <x:v>主题常驻</x:v>
      </x:c>
      <x:c r="H70" s="10" t="str">
        <x:v>超过2件须确认摆放需要</x:v>
      </x:c>
      <x:c r="I70" s="10" t="str">
        <x:v>地区免费件须首访；星晶件无需旅行门槛</x:v>
      </x:c>
      <x:c r="J70" s="10" t="str">
        <x:v>首发</x:v>
      </x:c>
    </x:row>
    <x:row r="71" ht="48" customHeight="1">
      <x:c r="A71" s="9" t="str">
        <x:v>SHOP_F_12_3</x:v>
      </x:c>
      <x:c r="B71" s="9" t="str">
        <x:v>F_12_3</x:v>
      </x:c>
      <x:c r="C71" s="9" t="str">
        <x:v>黑岩小桌</x:v>
      </x:c>
      <x:c r="D71" s="9" t="str">
        <x:v>星晶</x:v>
      </x:c>
      <x:c r="E71" s="9" t="n">
        <x:v>240</x:v>
      </x:c>
      <x:c r="F71" s="9" t="n">
        <x:v>2</x:v>
      </x:c>
      <x:c r="G71" s="9" t="str">
        <x:v>主题常驻</x:v>
      </x:c>
      <x:c r="H71" s="9" t="str">
        <x:v>超过2件须确认摆放需要</x:v>
      </x:c>
      <x:c r="I71" s="9" t="str">
        <x:v>地区免费件须首访；星晶件无需旅行门槛</x:v>
      </x:c>
      <x:c r="J71" s="9" t="str">
        <x:v>首发</x:v>
      </x:c>
    </x:row>
    <x:row r="72" ht="48" customHeight="1">
      <x:c r="A72" s="10" t="str">
        <x:v>SHOP_F_12_4</x:v>
      </x:c>
      <x:c r="B72" s="10" t="str">
        <x:v>F_12_4</x:v>
      </x:c>
      <x:c r="C72" s="10" t="str">
        <x:v>霜蓝双人榻</x:v>
      </x:c>
      <x:c r="D72" s="10" t="str">
        <x:v>星晶</x:v>
      </x:c>
      <x:c r="E72" s="10" t="n">
        <x:v>360</x:v>
      </x:c>
      <x:c r="F72" s="10" t="n">
        <x:v>2</x:v>
      </x:c>
      <x:c r="G72" s="10" t="str">
        <x:v>主题常驻</x:v>
      </x:c>
      <x:c r="H72" s="10" t="str">
        <x:v>超过2件须确认摆放需要</x:v>
      </x:c>
      <x:c r="I72" s="10" t="str">
        <x:v>地区免费件须首访；星晶件无需旅行门槛</x:v>
      </x:c>
      <x:c r="J72" s="10" t="str">
        <x:v>首发</x:v>
      </x:c>
    </x:row>
    <x:row r="73" ht="48" customHeight="1">
      <x:c r="A73" s="9" t="str">
        <x:v>SHOP_F_12_5</x:v>
      </x:c>
      <x:c r="B73" s="9" t="str">
        <x:v>F_12_5</x:v>
      </x:c>
      <x:c r="C73" s="9" t="str">
        <x:v>极光玻璃柜</x:v>
      </x:c>
      <x:c r="D73" s="9" t="str">
        <x:v>星晶</x:v>
      </x:c>
      <x:c r="E73" s="9" t="n">
        <x:v>480</x:v>
      </x:c>
      <x:c r="F73" s="9" t="n">
        <x:v>2</x:v>
      </x:c>
      <x:c r="G73" s="9" t="str">
        <x:v>主题常驻</x:v>
      </x:c>
      <x:c r="H73" s="9" t="str">
        <x:v>超过2件须确认摆放需要</x:v>
      </x:c>
      <x:c r="I73" s="9" t="str">
        <x:v>地区免费件须首访；星晶件无需旅行门槛</x:v>
      </x:c>
      <x:c r="J73" s="9" t="str">
        <x:v>首发</x:v>
      </x:c>
    </x:row>
    <x:row r="74" ht="48" customHeight="1">
      <x:c r="A74" s="10" t="str">
        <x:v>SHOP_F_12_6</x:v>
      </x:c>
      <x:c r="B74" s="10" t="str">
        <x:v>F_12_6</x:v>
      </x:c>
      <x:c r="C74" s="10" t="str">
        <x:v>流光窗框</x:v>
      </x:c>
      <x:c r="D74" s="10" t="str">
        <x:v>星晶</x:v>
      </x:c>
      <x:c r="E74" s="10" t="n">
        <x:v>480</x:v>
      </x:c>
      <x:c r="F74" s="10" t="n">
        <x:v>2</x:v>
      </x:c>
      <x:c r="G74" s="10" t="str">
        <x:v>主题常驻</x:v>
      </x:c>
      <x:c r="H74" s="10" t="str">
        <x:v>超过2件须确认摆放需要</x:v>
      </x:c>
      <x:c r="I74" s="10" t="str">
        <x:v>地区免费件须首访；星晶件无需旅行门槛</x:v>
      </x:c>
      <x:c r="J74" s="10" t="str">
        <x:v>首发</x:v>
      </x:c>
    </x:row>
    <x:row r="75" ht="48" customHeight="1">
      <x:c r="A75" s="9" t="str">
        <x:v>SHOP_F_12_7</x:v>
      </x:c>
      <x:c r="B75" s="9" t="str">
        <x:v>F_12_7</x:v>
      </x:c>
      <x:c r="C75" s="9" t="str">
        <x:v>夜幕地毯</x:v>
      </x:c>
      <x:c r="D75" s="9" t="str">
        <x:v>星晶</x:v>
      </x:c>
      <x:c r="E75" s="9" t="n">
        <x:v>680</x:v>
      </x:c>
      <x:c r="F75" s="9" t="n">
        <x:v>2</x:v>
      </x:c>
      <x:c r="G75" s="9" t="str">
        <x:v>主题常驻</x:v>
      </x:c>
      <x:c r="H75" s="9" t="str">
        <x:v>超过2件须确认摆放需要</x:v>
      </x:c>
      <x:c r="I75" s="9" t="str">
        <x:v>地区免费件须首访；星晶件无需旅行门槛</x:v>
      </x:c>
      <x:c r="J75" s="9" t="str">
        <x:v>首发</x:v>
      </x:c>
    </x:row>
    <x:row r="76" ht="48" customHeight="1">
      <x:c r="A76" s="10" t="str">
        <x:v>SHOP_F_12_8</x:v>
      </x:c>
      <x:c r="B76" s="10" t="str">
        <x:v>F_12_8</x:v>
      </x:c>
      <x:c r="C76" s="10" t="str">
        <x:v>极光观测仪</x:v>
      </x:c>
      <x:c r="D76" s="10" t="str">
        <x:v>星晶</x:v>
      </x:c>
      <x:c r="E76" s="10" t="n">
        <x:v>980</x:v>
      </x:c>
      <x:c r="F76" s="10" t="n">
        <x:v>2</x:v>
      </x:c>
      <x:c r="G76" s="10" t="str">
        <x:v>主题常驻</x:v>
      </x:c>
      <x:c r="H76" s="10" t="str">
        <x:v>超过2件须确认摆放需要</x:v>
      </x:c>
      <x:c r="I76" s="10" t="str">
        <x:v>地区免费件须首访；星晶件无需旅行门槛</x:v>
      </x:c>
      <x:c r="J76" s="10" t="str">
        <x:v>首发</x:v>
      </x:c>
    </x:row>
    <x:row r="77" ht="48" customHeight="1">
      <x:c r="A77" s="9" t="str">
        <x:v>SHOP_F_13_1</x:v>
      </x:c>
      <x:c r="B77" s="9" t="str">
        <x:v>F_13_1</x:v>
      </x:c>
      <x:c r="C77" s="9" t="str">
        <x:v>扎染坐墩</x:v>
      </x:c>
      <x:c r="D77" s="9" t="str">
        <x:v>花园币</x:v>
      </x:c>
      <x:c r="E77" s="9" t="n">
        <x:v>180</x:v>
      </x:c>
      <x:c r="F77" s="9" t="n">
        <x:v>2</x:v>
      </x:c>
      <x:c r="G77" s="9" t="str">
        <x:v>主题常驻</x:v>
      </x:c>
      <x:c r="H77" s="9" t="str">
        <x:v>超过2件须确认摆放需要</x:v>
      </x:c>
      <x:c r="I77" s="9" t="str">
        <x:v>地区免费件须首访；星晶件无需旅行门槛</x:v>
      </x:c>
      <x:c r="J77" s="9" t="str">
        <x:v>M2</x:v>
      </x:c>
    </x:row>
    <x:row r="78" ht="48" customHeight="1">
      <x:c r="A78" s="10" t="str">
        <x:v>SHOP_F_13_2</x:v>
      </x:c>
      <x:c r="B78" s="10" t="str">
        <x:v>F_13_2</x:v>
      </x:c>
      <x:c r="C78" s="10" t="str">
        <x:v>兰花立灯</x:v>
      </x:c>
      <x:c r="D78" s="10" t="str">
        <x:v>花园币</x:v>
      </x:c>
      <x:c r="E78" s="10" t="n">
        <x:v>360</x:v>
      </x:c>
      <x:c r="F78" s="10" t="n">
        <x:v>2</x:v>
      </x:c>
      <x:c r="G78" s="10" t="str">
        <x:v>主题常驻</x:v>
      </x:c>
      <x:c r="H78" s="10" t="str">
        <x:v>超过2件须确认摆放需要</x:v>
      </x:c>
      <x:c r="I78" s="10" t="str">
        <x:v>地区免费件须首访；星晶件无需旅行门槛</x:v>
      </x:c>
      <x:c r="J78" s="10" t="str">
        <x:v>M2</x:v>
      </x:c>
    </x:row>
    <x:row r="79" ht="48" customHeight="1">
      <x:c r="A79" s="9" t="str">
        <x:v>SHOP_F_13_3</x:v>
      </x:c>
      <x:c r="B79" s="9" t="str">
        <x:v>F_13_3</x:v>
      </x:c>
      <x:c r="C79" s="9" t="str">
        <x:v>风花圆几</x:v>
      </x:c>
      <x:c r="D79" s="9" t="str">
        <x:v>花园币</x:v>
      </x:c>
      <x:c r="E79" s="9" t="n">
        <x:v>600</x:v>
      </x:c>
      <x:c r="F79" s="9" t="n">
        <x:v>2</x:v>
      </x:c>
      <x:c r="G79" s="9" t="str">
        <x:v>主题常驻</x:v>
      </x:c>
      <x:c r="H79" s="9" t="str">
        <x:v>超过2件须确认摆放需要</x:v>
      </x:c>
      <x:c r="I79" s="9" t="str">
        <x:v>地区免费件须首访；星晶件无需旅行门槛</x:v>
      </x:c>
      <x:c r="J79" s="9" t="str">
        <x:v>M2</x:v>
      </x:c>
    </x:row>
    <x:row r="80" ht="48" customHeight="1">
      <x:c r="A80" s="10" t="str">
        <x:v>SHOP_F_14_1</x:v>
      </x:c>
      <x:c r="B80" s="10" t="str">
        <x:v>F_14_1</x:v>
      </x:c>
      <x:c r="C80" s="10" t="str">
        <x:v>花瓣软凳</x:v>
      </x:c>
      <x:c r="D80" s="10" t="str">
        <x:v>星晶</x:v>
      </x:c>
      <x:c r="E80" s="10" t="n">
        <x:v>120</x:v>
      </x:c>
      <x:c r="F80" s="10" t="n">
        <x:v>2</x:v>
      </x:c>
      <x:c r="G80" s="10" t="str">
        <x:v>主题常驻</x:v>
      </x:c>
      <x:c r="H80" s="10" t="str">
        <x:v>超过2件须确认摆放需要</x:v>
      </x:c>
      <x:c r="I80" s="10" t="str">
        <x:v>地区免费件须首访；星晶件无需旅行门槛</x:v>
      </x:c>
      <x:c r="J80" s="10" t="str">
        <x:v>M2</x:v>
      </x:c>
    </x:row>
    <x:row r="81" ht="48" customHeight="1">
      <x:c r="A81" s="9" t="str">
        <x:v>SHOP_F_14_2</x:v>
      </x:c>
      <x:c r="B81" s="9" t="str">
        <x:v>F_14_2</x:v>
      </x:c>
      <x:c r="C81" s="9" t="str">
        <x:v>彩璃立灯</x:v>
      </x:c>
      <x:c r="D81" s="9" t="str">
        <x:v>星晶</x:v>
      </x:c>
      <x:c r="E81" s="9" t="n">
        <x:v>180</x:v>
      </x:c>
      <x:c r="F81" s="9" t="n">
        <x:v>2</x:v>
      </x:c>
      <x:c r="G81" s="9" t="str">
        <x:v>主题常驻</x:v>
      </x:c>
      <x:c r="H81" s="9" t="str">
        <x:v>超过2件须确认摆放需要</x:v>
      </x:c>
      <x:c r="I81" s="9" t="str">
        <x:v>地区免费件须首访；星晶件无需旅行门槛</x:v>
      </x:c>
      <x:c r="J81" s="9" t="str">
        <x:v>M2</x:v>
      </x:c>
    </x:row>
    <x:row r="82" ht="48" customHeight="1">
      <x:c r="A82" s="10" t="str">
        <x:v>SHOP_F_14_3</x:v>
      </x:c>
      <x:c r="B82" s="10" t="str">
        <x:v>F_14_3</x:v>
      </x:c>
      <x:c r="C82" s="10" t="str">
        <x:v>彩窗圆几</x:v>
      </x:c>
      <x:c r="D82" s="10" t="str">
        <x:v>星晶</x:v>
      </x:c>
      <x:c r="E82" s="10" t="n">
        <x:v>240</x:v>
      </x:c>
      <x:c r="F82" s="10" t="n">
        <x:v>2</x:v>
      </x:c>
      <x:c r="G82" s="10" t="str">
        <x:v>主题常驻</x:v>
      </x:c>
      <x:c r="H82" s="10" t="str">
        <x:v>超过2件须确认摆放需要</x:v>
      </x:c>
      <x:c r="I82" s="10" t="str">
        <x:v>地区免费件须首访；星晶件无需旅行门槛</x:v>
      </x:c>
      <x:c r="J82" s="10" t="str">
        <x:v>M2</x:v>
      </x:c>
    </x:row>
    <x:row r="83" ht="48" customHeight="1">
      <x:c r="A83" s="9" t="str">
        <x:v>SHOP_F_14_4</x:v>
      </x:c>
      <x:c r="B83" s="9" t="str">
        <x:v>F_14_4</x:v>
      </x:c>
      <x:c r="C83" s="9" t="str">
        <x:v>花廊双人椅</x:v>
      </x:c>
      <x:c r="D83" s="9" t="str">
        <x:v>星晶</x:v>
      </x:c>
      <x:c r="E83" s="9" t="n">
        <x:v>360</x:v>
      </x:c>
      <x:c r="F83" s="9" t="n">
        <x:v>2</x:v>
      </x:c>
      <x:c r="G83" s="9" t="str">
        <x:v>主题常驻</x:v>
      </x:c>
      <x:c r="H83" s="9" t="str">
        <x:v>超过2件须确认摆放需要</x:v>
      </x:c>
      <x:c r="I83" s="9" t="str">
        <x:v>地区免费件须首访；星晶件无需旅行门槛</x:v>
      </x:c>
      <x:c r="J83" s="9" t="str">
        <x:v>M2</x:v>
      </x:c>
    </x:row>
    <x:row r="84" ht="48" customHeight="1">
      <x:c r="A84" s="10" t="str">
        <x:v>SHOP_F_14_5</x:v>
      </x:c>
      <x:c r="B84" s="10" t="str">
        <x:v>F_14_5</x:v>
      </x:c>
      <x:c r="C84" s="10" t="str">
        <x:v>玻璃花架</x:v>
      </x:c>
      <x:c r="D84" s="10" t="str">
        <x:v>星晶</x:v>
      </x:c>
      <x:c r="E84" s="10" t="n">
        <x:v>480</x:v>
      </x:c>
      <x:c r="F84" s="10" t="n">
        <x:v>2</x:v>
      </x:c>
      <x:c r="G84" s="10" t="str">
        <x:v>主题常驻</x:v>
      </x:c>
      <x:c r="H84" s="10" t="str">
        <x:v>超过2件须确认摆放需要</x:v>
      </x:c>
      <x:c r="I84" s="10" t="str">
        <x:v>地区免费件须首访；星晶件无需旅行门槛</x:v>
      </x:c>
      <x:c r="J84" s="10" t="str">
        <x:v>M2</x:v>
      </x:c>
    </x:row>
    <x:row r="85" ht="48" customHeight="1">
      <x:c r="A85" s="9" t="str">
        <x:v>SHOP_F_14_6</x:v>
      </x:c>
      <x:c r="B85" s="9" t="str">
        <x:v>F_14_6</x:v>
      </x:c>
      <x:c r="C85" s="9" t="str">
        <x:v>彩璃挂饰</x:v>
      </x:c>
      <x:c r="D85" s="9" t="str">
        <x:v>星晶</x:v>
      </x:c>
      <x:c r="E85" s="9" t="n">
        <x:v>480</x:v>
      </x:c>
      <x:c r="F85" s="9" t="n">
        <x:v>2</x:v>
      </x:c>
      <x:c r="G85" s="9" t="str">
        <x:v>主题常驻</x:v>
      </x:c>
      <x:c r="H85" s="9" t="str">
        <x:v>超过2件须确认摆放需要</x:v>
      </x:c>
      <x:c r="I85" s="9" t="str">
        <x:v>地区免费件须首访；星晶件无需旅行门槛</x:v>
      </x:c>
      <x:c r="J85" s="9" t="str">
        <x:v>M2</x:v>
      </x:c>
    </x:row>
    <x:row r="86" ht="48" customHeight="1">
      <x:c r="A86" s="10" t="str">
        <x:v>SHOP_F_14_7</x:v>
      </x:c>
      <x:c r="B86" s="10" t="str">
        <x:v>F_14_7</x:v>
      </x:c>
      <x:c r="C86" s="10" t="str">
        <x:v>花影地毯</x:v>
      </x:c>
      <x:c r="D86" s="10" t="str">
        <x:v>星晶</x:v>
      </x:c>
      <x:c r="E86" s="10" t="n">
        <x:v>680</x:v>
      </x:c>
      <x:c r="F86" s="10" t="n">
        <x:v>2</x:v>
      </x:c>
      <x:c r="G86" s="10" t="str">
        <x:v>主题常驻</x:v>
      </x:c>
      <x:c r="H86" s="10" t="str">
        <x:v>超过2件须确认摆放需要</x:v>
      </x:c>
      <x:c r="I86" s="10" t="str">
        <x:v>地区免费件须首访；星晶件无需旅行门槛</x:v>
      </x:c>
      <x:c r="J86" s="10" t="str">
        <x:v>M2</x:v>
      </x:c>
    </x:row>
    <x:row r="87" ht="48" customHeight="1">
      <x:c r="A87" s="9" t="str">
        <x:v>SHOP_F_14_8</x:v>
      </x:c>
      <x:c r="B87" s="9" t="str">
        <x:v>F_14_8</x:v>
      </x:c>
      <x:c r="C87" s="9" t="str">
        <x:v>彩璃穹顶</x:v>
      </x:c>
      <x:c r="D87" s="9" t="str">
        <x:v>星晶</x:v>
      </x:c>
      <x:c r="E87" s="9" t="n">
        <x:v>980</x:v>
      </x:c>
      <x:c r="F87" s="9" t="n">
        <x:v>2</x:v>
      </x:c>
      <x:c r="G87" s="9" t="str">
        <x:v>主题常驻</x:v>
      </x:c>
      <x:c r="H87" s="9" t="str">
        <x:v>超过2件须确认摆放需要</x:v>
      </x:c>
      <x:c r="I87" s="9" t="str">
        <x:v>地区免费件须首访；星晶件无需旅行门槛</x:v>
      </x:c>
      <x:c r="J87" s="9" t="str">
        <x:v>M2</x:v>
      </x:c>
    </x:row>
    <x:row r="88" ht="48" customHeight="1">
      <x:c r="A88" s="10" t="str">
        <x:v>SHOP_F_15_1</x:v>
      </x:c>
      <x:c r="B88" s="10" t="str">
        <x:v>F_15_1</x:v>
      </x:c>
      <x:c r="C88" s="10" t="str">
        <x:v>蓝瓷坐墩</x:v>
      </x:c>
      <x:c r="D88" s="10" t="str">
        <x:v>花园币</x:v>
      </x:c>
      <x:c r="E88" s="10" t="n">
        <x:v>180</x:v>
      </x:c>
      <x:c r="F88" s="10" t="n">
        <x:v>2</x:v>
      </x:c>
      <x:c r="G88" s="10" t="str">
        <x:v>主题常驻</x:v>
      </x:c>
      <x:c r="H88" s="10" t="str">
        <x:v>超过2件须确认摆放需要</x:v>
      </x:c>
      <x:c r="I88" s="10" t="str">
        <x:v>地区免费件须首访；星晶件无需旅行门槛</x:v>
      </x:c>
      <x:c r="J88" s="10" t="str">
        <x:v>M3</x:v>
      </x:c>
    </x:row>
    <x:row r="89" ht="48" customHeight="1">
      <x:c r="A89" s="9" t="str">
        <x:v>SHOP_F_15_2</x:v>
      </x:c>
      <x:c r="B89" s="9" t="str">
        <x:v>F_15_2</x:v>
      </x:c>
      <x:c r="C89" s="9" t="str">
        <x:v>峡湾立灯</x:v>
      </x:c>
      <x:c r="D89" s="9" t="str">
        <x:v>花园币</x:v>
      </x:c>
      <x:c r="E89" s="9" t="n">
        <x:v>360</x:v>
      </x:c>
      <x:c r="F89" s="9" t="n">
        <x:v>2</x:v>
      </x:c>
      <x:c r="G89" s="9" t="str">
        <x:v>主题常驻</x:v>
      </x:c>
      <x:c r="H89" s="9" t="str">
        <x:v>超过2件须确认摆放需要</x:v>
      </x:c>
      <x:c r="I89" s="9" t="str">
        <x:v>地区免费件须首访；星晶件无需旅行门槛</x:v>
      </x:c>
      <x:c r="J89" s="9" t="str">
        <x:v>M3</x:v>
      </x:c>
    </x:row>
    <x:row r="90" ht="48" customHeight="1">
      <x:c r="A90" s="10" t="str">
        <x:v>SHOP_F_15_3</x:v>
      </x:c>
      <x:c r="B90" s="10" t="str">
        <x:v>F_15_3</x:v>
      </x:c>
      <x:c r="C90" s="10" t="str">
        <x:v>瓷纹茶几</x:v>
      </x:c>
      <x:c r="D90" s="10" t="str">
        <x:v>花园币</x:v>
      </x:c>
      <x:c r="E90" s="10" t="n">
        <x:v>600</x:v>
      </x:c>
      <x:c r="F90" s="10" t="n">
        <x:v>2</x:v>
      </x:c>
      <x:c r="G90" s="10" t="str">
        <x:v>主题常驻</x:v>
      </x:c>
      <x:c r="H90" s="10" t="str">
        <x:v>超过2件须确认摆放需要</x:v>
      </x:c>
      <x:c r="I90" s="10" t="str">
        <x:v>地区免费件须首访；星晶件无需旅行门槛</x:v>
      </x:c>
      <x:c r="J90" s="10" t="str">
        <x:v>M3</x:v>
      </x:c>
    </x:row>
    <x:row r="91" ht="48" customHeight="1">
      <x:c r="A91" s="9" t="str">
        <x:v>SHOP_F_16_1</x:v>
      </x:c>
      <x:c r="B91" s="9" t="str">
        <x:v>F_16_1</x:v>
      </x:c>
      <x:c r="C91" s="9" t="str">
        <x:v>剪纸软凳</x:v>
      </x:c>
      <x:c r="D91" s="9" t="str">
        <x:v>星晶</x:v>
      </x:c>
      <x:c r="E91" s="9" t="n">
        <x:v>120</x:v>
      </x:c>
      <x:c r="F91" s="9" t="n">
        <x:v>2</x:v>
      </x:c>
      <x:c r="G91" s="9" t="str">
        <x:v>主题常驻</x:v>
      </x:c>
      <x:c r="H91" s="9" t="str">
        <x:v>超过2件须确认摆放需要</x:v>
      </x:c>
      <x:c r="I91" s="9" t="str">
        <x:v>地区免费件须首访；星晶件无需旅行门槛</x:v>
      </x:c>
      <x:c r="J91" s="9" t="str">
        <x:v>M3</x:v>
      </x:c>
    </x:row>
    <x:row r="92" ht="48" customHeight="1">
      <x:c r="A92" s="10" t="str">
        <x:v>SHOP_F_16_2</x:v>
      </x:c>
      <x:c r="B92" s="10" t="str">
        <x:v>F_16_2</x:v>
      </x:c>
      <x:c r="C92" s="10" t="str">
        <x:v>银蕨立灯</x:v>
      </x:c>
      <x:c r="D92" s="10" t="str">
        <x:v>星晶</x:v>
      </x:c>
      <x:c r="E92" s="10" t="n">
        <x:v>180</x:v>
      </x:c>
      <x:c r="F92" s="10" t="n">
        <x:v>2</x:v>
      </x:c>
      <x:c r="G92" s="10" t="str">
        <x:v>主题常驻</x:v>
      </x:c>
      <x:c r="H92" s="10" t="str">
        <x:v>超过2件须确认摆放需要</x:v>
      </x:c>
      <x:c r="I92" s="10" t="str">
        <x:v>地区免费件须首访；星晶件无需旅行门槛</x:v>
      </x:c>
      <x:c r="J92" s="10" t="str">
        <x:v>M3</x:v>
      </x:c>
    </x:row>
    <x:row r="93" ht="48" customHeight="1">
      <x:c r="A93" s="9" t="str">
        <x:v>SHOP_F_16_3</x:v>
      </x:c>
      <x:c r="B93" s="9" t="str">
        <x:v>F_16_3</x:v>
      </x:c>
      <x:c r="C93" s="9" t="str">
        <x:v>花市方几</x:v>
      </x:c>
      <x:c r="D93" s="9" t="str">
        <x:v>星晶</x:v>
      </x:c>
      <x:c r="E93" s="9" t="n">
        <x:v>240</x:v>
      </x:c>
      <x:c r="F93" s="9" t="n">
        <x:v>2</x:v>
      </x:c>
      <x:c r="G93" s="9" t="str">
        <x:v>主题常驻</x:v>
      </x:c>
      <x:c r="H93" s="9" t="str">
        <x:v>超过2件须确认摆放需要</x:v>
      </x:c>
      <x:c r="I93" s="9" t="str">
        <x:v>地区免费件须首访；星晶件无需旅行门槛</x:v>
      </x:c>
      <x:c r="J93" s="9" t="str">
        <x:v>M3</x:v>
      </x:c>
    </x:row>
    <x:row r="94" ht="48" customHeight="1">
      <x:c r="A94" s="10" t="str">
        <x:v>SHOP_F_16_4</x:v>
      </x:c>
      <x:c r="B94" s="10" t="str">
        <x:v>F_16_4</x:v>
      </x:c>
      <x:c r="C94" s="10" t="str">
        <x:v>湖光双人椅</x:v>
      </x:c>
      <x:c r="D94" s="10" t="str">
        <x:v>星晶</x:v>
      </x:c>
      <x:c r="E94" s="10" t="n">
        <x:v>360</x:v>
      </x:c>
      <x:c r="F94" s="10" t="n">
        <x:v>2</x:v>
      </x:c>
      <x:c r="G94" s="10" t="str">
        <x:v>主题常驻</x:v>
      </x:c>
      <x:c r="H94" s="10" t="str">
        <x:v>超过2件须确认摆放需要</x:v>
      </x:c>
      <x:c r="I94" s="10" t="str">
        <x:v>地区免费件须首访；星晶件无需旅行门槛</x:v>
      </x:c>
      <x:c r="J94" s="10" t="str">
        <x:v>M3</x:v>
      </x:c>
    </x:row>
    <x:row r="95" ht="48" customHeight="1">
      <x:c r="A95" s="9" t="str">
        <x:v>SHOP_F_16_5</x:v>
      </x:c>
      <x:c r="B95" s="9" t="str">
        <x:v>F_16_5</x:v>
      </x:c>
      <x:c r="C95" s="9" t="str">
        <x:v>花市展示架</x:v>
      </x:c>
      <x:c r="D95" s="9" t="str">
        <x:v>星晶</x:v>
      </x:c>
      <x:c r="E95" s="9" t="n">
        <x:v>480</x:v>
      </x:c>
      <x:c r="F95" s="9" t="n">
        <x:v>2</x:v>
      </x:c>
      <x:c r="G95" s="9" t="str">
        <x:v>主题常驻</x:v>
      </x:c>
      <x:c r="H95" s="9" t="str">
        <x:v>超过2件须确认摆放需要</x:v>
      </x:c>
      <x:c r="I95" s="9" t="str">
        <x:v>地区免费件须首访；星晶件无需旅行门槛</x:v>
      </x:c>
      <x:c r="J95" s="9" t="str">
        <x:v>M3</x:v>
      </x:c>
    </x:row>
    <x:row r="96" ht="48" customHeight="1">
      <x:c r="A96" s="10" t="str">
        <x:v>SHOP_F_16_6</x:v>
      </x:c>
      <x:c r="B96" s="10" t="str">
        <x:v>F_16_6</x:v>
      </x:c>
      <x:c r="C96" s="10" t="str">
        <x:v>剪纸壁饰</x:v>
      </x:c>
      <x:c r="D96" s="10" t="str">
        <x:v>星晶</x:v>
      </x:c>
      <x:c r="E96" s="10" t="n">
        <x:v>480</x:v>
      </x:c>
      <x:c r="F96" s="10" t="n">
        <x:v>2</x:v>
      </x:c>
      <x:c r="G96" s="10" t="str">
        <x:v>主题常驻</x:v>
      </x:c>
      <x:c r="H96" s="10" t="str">
        <x:v>超过2件须确认摆放需要</x:v>
      </x:c>
      <x:c r="I96" s="10" t="str">
        <x:v>地区免费件须首访；星晶件无需旅行门槛</x:v>
      </x:c>
      <x:c r="J96" s="10" t="str">
        <x:v>M3</x:v>
      </x:c>
    </x:row>
    <x:row r="97" ht="48" customHeight="1">
      <x:c r="A97" s="9" t="str">
        <x:v>SHOP_F_16_7</x:v>
      </x:c>
      <x:c r="B97" s="9" t="str">
        <x:v>F_16_7</x:v>
      </x:c>
      <x:c r="C97" s="9" t="str">
        <x:v>彩花地毯</x:v>
      </x:c>
      <x:c r="D97" s="9" t="str">
        <x:v>星晶</x:v>
      </x:c>
      <x:c r="E97" s="9" t="n">
        <x:v>680</x:v>
      </x:c>
      <x:c r="F97" s="9" t="n">
        <x:v>2</x:v>
      </x:c>
      <x:c r="G97" s="9" t="str">
        <x:v>主题常驻</x:v>
      </x:c>
      <x:c r="H97" s="9" t="str">
        <x:v>超过2件须确认摆放需要</x:v>
      </x:c>
      <x:c r="I97" s="9" t="str">
        <x:v>地区免费件须首访；星晶件无需旅行门槛</x:v>
      </x:c>
      <x:c r="J97" s="9" t="str">
        <x:v>M3</x:v>
      </x:c>
    </x:row>
    <x:row r="98" ht="48" customHeight="1">
      <x:c r="A98" s="10" t="str">
        <x:v>SHOP_F_16_8</x:v>
      </x:c>
      <x:c r="B98" s="10" t="str">
        <x:v>F_16_8</x:v>
      </x:c>
      <x:c r="C98" s="10" t="str">
        <x:v>湖光花船</x:v>
      </x:c>
      <x:c r="D98" s="10" t="str">
        <x:v>星晶</x:v>
      </x:c>
      <x:c r="E98" s="10" t="n">
        <x:v>980</x:v>
      </x:c>
      <x:c r="F98" s="10" t="n">
        <x:v>2</x:v>
      </x:c>
      <x:c r="G98" s="10" t="str">
        <x:v>主题常驻</x:v>
      </x:c>
      <x:c r="H98" s="10" t="str">
        <x:v>超过2件须确认摆放需要</x:v>
      </x:c>
      <x:c r="I98" s="10" t="str">
        <x:v>地区免费件须首访；星晶件无需旅行门槛</x:v>
      </x:c>
      <x:c r="J98" s="10" t="str">
        <x:v>M3</x:v>
      </x:c>
    </x:row>
    <x:row r="99" ht="48" customHeight="1">
      <x:c r="A99" s="9" t="str">
        <x:v>SHOP_F_17_1</x:v>
      </x:c>
      <x:c r="B99" s="9" t="str">
        <x:v>F_17_1</x:v>
      </x:c>
      <x:c r="C99" s="9" t="str">
        <x:v>织锦坐墩</x:v>
      </x:c>
      <x:c r="D99" s="9" t="str">
        <x:v>花园币</x:v>
      </x:c>
      <x:c r="E99" s="9" t="n">
        <x:v>180</x:v>
      </x:c>
      <x:c r="F99" s="9" t="n">
        <x:v>2</x:v>
      </x:c>
      <x:c r="G99" s="9" t="str">
        <x:v>主题常驻</x:v>
      </x:c>
      <x:c r="H99" s="9" t="str">
        <x:v>超过2件须确认摆放需要</x:v>
      </x:c>
      <x:c r="I99" s="9" t="str">
        <x:v>地区免费件须首访；星晶件无需旅行门槛</x:v>
      </x:c>
      <x:c r="J99" s="9" t="str">
        <x:v>M4</x:v>
      </x:c>
    </x:row>
    <x:row r="100" ht="48" customHeight="1">
      <x:c r="A100" s="10" t="str">
        <x:v>SHOP_F_17_2</x:v>
      </x:c>
      <x:c r="B100" s="10" t="str">
        <x:v>F_17_2</x:v>
      </x:c>
      <x:c r="C100" s="10" t="str">
        <x:v>星毯立灯</x:v>
      </x:c>
      <x:c r="D100" s="10" t="str">
        <x:v>花园币</x:v>
      </x:c>
      <x:c r="E100" s="10" t="n">
        <x:v>360</x:v>
      </x:c>
      <x:c r="F100" s="10" t="n">
        <x:v>2</x:v>
      </x:c>
      <x:c r="G100" s="10" t="str">
        <x:v>主题常驻</x:v>
      </x:c>
      <x:c r="H100" s="10" t="str">
        <x:v>超过2件须确认摆放需要</x:v>
      </x:c>
      <x:c r="I100" s="10" t="str">
        <x:v>地区免费件须首访；星晶件无需旅行门槛</x:v>
      </x:c>
      <x:c r="J100" s="10" t="str">
        <x:v>M4</x:v>
      </x:c>
    </x:row>
    <x:row r="101" ht="48" customHeight="1">
      <x:c r="A101" s="9" t="str">
        <x:v>SHOP_F_17_3</x:v>
      </x:c>
      <x:c r="B101" s="9" t="str">
        <x:v>F_17_3</x:v>
      </x:c>
      <x:c r="C101" s="9" t="str">
        <x:v>镶纹茶几</x:v>
      </x:c>
      <x:c r="D101" s="9" t="str">
        <x:v>花园币</x:v>
      </x:c>
      <x:c r="E101" s="9" t="n">
        <x:v>600</x:v>
      </x:c>
      <x:c r="F101" s="9" t="n">
        <x:v>2</x:v>
      </x:c>
      <x:c r="G101" s="9" t="str">
        <x:v>主题常驻</x:v>
      </x:c>
      <x:c r="H101" s="9" t="str">
        <x:v>超过2件须确认摆放需要</x:v>
      </x:c>
      <x:c r="I101" s="9" t="str">
        <x:v>地区免费件须首访；星晶件无需旅行门槛</x:v>
      </x:c>
      <x:c r="J101" s="9" t="str">
        <x:v>M4</x:v>
      </x:c>
    </x:row>
    <x:row r="102" ht="48" customHeight="1">
      <x:c r="A102" s="10" t="str">
        <x:v>SHOP_F_18_1</x:v>
      </x:c>
      <x:c r="B102" s="10" t="str">
        <x:v>F_18_1</x:v>
      </x:c>
      <x:c r="C102" s="10" t="str">
        <x:v>枫叶软凳</x:v>
      </x:c>
      <x:c r="D102" s="10" t="str">
        <x:v>星晶</x:v>
      </x:c>
      <x:c r="E102" s="10" t="n">
        <x:v>120</x:v>
      </x:c>
      <x:c r="F102" s="10" t="n">
        <x:v>2</x:v>
      </x:c>
      <x:c r="G102" s="10" t="str">
        <x:v>主题常驻</x:v>
      </x:c>
      <x:c r="H102" s="10" t="str">
        <x:v>超过2件须确认摆放需要</x:v>
      </x:c>
      <x:c r="I102" s="10" t="str">
        <x:v>地区免费件须首访；星晶件无需旅行门槛</x:v>
      </x:c>
      <x:c r="J102" s="10" t="str">
        <x:v>M4</x:v>
      </x:c>
    </x:row>
    <x:row r="103" ht="48" customHeight="1">
      <x:c r="A103" s="9" t="str">
        <x:v>SHOP_F_18_2</x:v>
      </x:c>
      <x:c r="B103" s="9" t="str">
        <x:v>F_18_2</x:v>
      </x:c>
      <x:c r="C103" s="9" t="str">
        <x:v>萤火立灯</x:v>
      </x:c>
      <x:c r="D103" s="9" t="str">
        <x:v>星晶</x:v>
      </x:c>
      <x:c r="E103" s="9" t="n">
        <x:v>180</x:v>
      </x:c>
      <x:c r="F103" s="9" t="n">
        <x:v>2</x:v>
      </x:c>
      <x:c r="G103" s="9" t="str">
        <x:v>主题常驻</x:v>
      </x:c>
      <x:c r="H103" s="9" t="str">
        <x:v>超过2件须确认摆放需要</x:v>
      </x:c>
      <x:c r="I103" s="9" t="str">
        <x:v>地区免费件须首访；星晶件无需旅行门槛</x:v>
      </x:c>
      <x:c r="J103" s="9" t="str">
        <x:v>M4</x:v>
      </x:c>
    </x:row>
    <x:row r="104" ht="48" customHeight="1">
      <x:c r="A104" s="10" t="str">
        <x:v>SHOP_F_18_3</x:v>
      </x:c>
      <x:c r="B104" s="10" t="str">
        <x:v>F_18_3</x:v>
      </x:c>
      <x:c r="C104" s="10" t="str">
        <x:v>树根茶几</x:v>
      </x:c>
      <x:c r="D104" s="10" t="str">
        <x:v>星晶</x:v>
      </x:c>
      <x:c r="E104" s="10" t="n">
        <x:v>240</x:v>
      </x:c>
      <x:c r="F104" s="10" t="n">
        <x:v>2</x:v>
      </x:c>
      <x:c r="G104" s="10" t="str">
        <x:v>主题常驻</x:v>
      </x:c>
      <x:c r="H104" s="10" t="str">
        <x:v>超过2件须确认摆放需要</x:v>
      </x:c>
      <x:c r="I104" s="10" t="str">
        <x:v>地区免费件须首访；星晶件无需旅行门槛</x:v>
      </x:c>
      <x:c r="J104" s="10" t="str">
        <x:v>M4</x:v>
      </x:c>
    </x:row>
    <x:row r="105" ht="48" customHeight="1">
      <x:c r="A105" s="9" t="str">
        <x:v>SHOP_F_18_4</x:v>
      </x:c>
      <x:c r="B105" s="9" t="str">
        <x:v>F_18_4</x:v>
      </x:c>
      <x:c r="C105" s="9" t="str">
        <x:v>枫林长椅</x:v>
      </x:c>
      <x:c r="D105" s="9" t="str">
        <x:v>星晶</x:v>
      </x:c>
      <x:c r="E105" s="9" t="n">
        <x:v>360</x:v>
      </x:c>
      <x:c r="F105" s="9" t="n">
        <x:v>2</x:v>
      </x:c>
      <x:c r="G105" s="9" t="str">
        <x:v>主题常驻</x:v>
      </x:c>
      <x:c r="H105" s="9" t="str">
        <x:v>超过2件须确认摆放需要</x:v>
      </x:c>
      <x:c r="I105" s="9" t="str">
        <x:v>地区免费件须首访；星晶件无需旅行门槛</x:v>
      </x:c>
      <x:c r="J105" s="9" t="str">
        <x:v>M4</x:v>
      </x:c>
    </x:row>
    <x:row r="106" ht="48" customHeight="1">
      <x:c r="A106" s="10" t="str">
        <x:v>SHOP_F_18_5</x:v>
      </x:c>
      <x:c r="B106" s="10" t="str">
        <x:v>F_18_5</x:v>
      </x:c>
      <x:c r="C106" s="10" t="str">
        <x:v>苔藓收藏柜</x:v>
      </x:c>
      <x:c r="D106" s="10" t="str">
        <x:v>星晶</x:v>
      </x:c>
      <x:c r="E106" s="10" t="n">
        <x:v>480</x:v>
      </x:c>
      <x:c r="F106" s="10" t="n">
        <x:v>2</x:v>
      </x:c>
      <x:c r="G106" s="10" t="str">
        <x:v>主题常驻</x:v>
      </x:c>
      <x:c r="H106" s="10" t="str">
        <x:v>超过2件须确认摆放需要</x:v>
      </x:c>
      <x:c r="I106" s="10" t="str">
        <x:v>地区免费件须首访；星晶件无需旅行门槛</x:v>
      </x:c>
      <x:c r="J106" s="10" t="str">
        <x:v>M4</x:v>
      </x:c>
    </x:row>
    <x:row r="107" ht="48" customHeight="1">
      <x:c r="A107" s="9" t="str">
        <x:v>SHOP_F_18_6</x:v>
      </x:c>
      <x:c r="B107" s="9" t="str">
        <x:v>F_18_6</x:v>
      </x:c>
      <x:c r="C107" s="9" t="str">
        <x:v>枫叶壁饰</x:v>
      </x:c>
      <x:c r="D107" s="9" t="str">
        <x:v>星晶</x:v>
      </x:c>
      <x:c r="E107" s="9" t="n">
        <x:v>480</x:v>
      </x:c>
      <x:c r="F107" s="9" t="n">
        <x:v>2</x:v>
      </x:c>
      <x:c r="G107" s="9" t="str">
        <x:v>主题常驻</x:v>
      </x:c>
      <x:c r="H107" s="9" t="str">
        <x:v>超过2件须确认摆放需要</x:v>
      </x:c>
      <x:c r="I107" s="9" t="str">
        <x:v>地区免费件须首访；星晶件无需旅行门槛</x:v>
      </x:c>
      <x:c r="J107" s="9" t="str">
        <x:v>M4</x:v>
      </x:c>
    </x:row>
    <x:row r="108" ht="48" customHeight="1">
      <x:c r="A108" s="10" t="str">
        <x:v>SHOP_F_18_7</x:v>
      </x:c>
      <x:c r="B108" s="10" t="str">
        <x:v>F_18_7</x:v>
      </x:c>
      <x:c r="C108" s="10" t="str">
        <x:v>林地厚毯</x:v>
      </x:c>
      <x:c r="D108" s="10" t="str">
        <x:v>星晶</x:v>
      </x:c>
      <x:c r="E108" s="10" t="n">
        <x:v>680</x:v>
      </x:c>
      <x:c r="F108" s="10" t="n">
        <x:v>2</x:v>
      </x:c>
      <x:c r="G108" s="10" t="str">
        <x:v>主题常驻</x:v>
      </x:c>
      <x:c r="H108" s="10" t="str">
        <x:v>超过2件须确认摆放需要</x:v>
      </x:c>
      <x:c r="I108" s="10" t="str">
        <x:v>地区免费件须首访；星晶件无需旅行门槛</x:v>
      </x:c>
      <x:c r="J108" s="10" t="str">
        <x:v>M4</x:v>
      </x:c>
    </x:row>
    <x:row r="109" ht="48" customHeight="1">
      <x:c r="A109" s="9" t="str">
        <x:v>SHOP_F_18_8</x:v>
      </x:c>
      <x:c r="B109" s="9" t="str">
        <x:v>F_18_8</x:v>
      </x:c>
      <x:c r="C109" s="9" t="str">
        <x:v>萤光树屋</x:v>
      </x:c>
      <x:c r="D109" s="9" t="str">
        <x:v>星晶</x:v>
      </x:c>
      <x:c r="E109" s="9" t="n">
        <x:v>980</x:v>
      </x:c>
      <x:c r="F109" s="9" t="n">
        <x:v>2</x:v>
      </x:c>
      <x:c r="G109" s="9" t="str">
        <x:v>主题常驻</x:v>
      </x:c>
      <x:c r="H109" s="9" t="str">
        <x:v>超过2件须确认摆放需要</x:v>
      </x:c>
      <x:c r="I109" s="9" t="str">
        <x:v>地区免费件须首访；星晶件无需旅行门槛</x:v>
      </x:c>
      <x:c r="J109" s="9" t="str">
        <x:v>M4</x:v>
      </x:c>
    </x:row>
    <x:row r="110" ht="48" customHeight="1">
      <x:c r="A110" s="10" t="str">
        <x:v>PAY_6</x:v>
      </x:c>
      <x:c r="B110" s="10" t="str">
        <x:v>C_STAR_PAID</x:v>
      </x:c>
      <x:c r="C110" s="10" t="str">
        <x:v>6元充值档</x:v>
      </x:c>
      <x:c r="D110" s="10" t="str">
        <x:v>人民币</x:v>
      </x:c>
      <x:c r="E110" s="10" t="n">
        <x:v>6</x:v>
      </x:c>
      <x:c r="F110" s="10" t="n">
        <x:v>60</x:v>
      </x:c>
      <x:c r="G110" s="10" t="str">
        <x:v>无强制限购</x:v>
      </x:c>
      <x:c r="H110" s="10" t="str">
        <x:v>购买与赠送分账；加赠为赠送星晶</x:v>
      </x:c>
      <x:c r="I110" s="10" t="str">
        <x:v>基础60购买晶＋0赠晶；未接支付</x:v>
      </x:c>
      <x:c r="J110" s="10" t="str">
        <x:v>支付实装后</x:v>
      </x:c>
    </x:row>
    <x:row r="111" ht="48" customHeight="1">
      <x:c r="A111" s="9" t="str">
        <x:v>PAY_30</x:v>
      </x:c>
      <x:c r="B111" s="9" t="str">
        <x:v>C_STAR_PAID</x:v>
      </x:c>
      <x:c r="C111" s="9" t="str">
        <x:v>30元充值档</x:v>
      </x:c>
      <x:c r="D111" s="9" t="str">
        <x:v>人民币</x:v>
      </x:c>
      <x:c r="E111" s="9" t="n">
        <x:v>30</x:v>
      </x:c>
      <x:c r="F111" s="9" t="n">
        <x:v>300</x:v>
      </x:c>
      <x:c r="G111" s="9" t="str">
        <x:v>无强制限购</x:v>
      </x:c>
      <x:c r="H111" s="9" t="str">
        <x:v>购买与赠送分账；加赠为赠送星晶</x:v>
      </x:c>
      <x:c r="I111" s="9" t="str">
        <x:v>基础300购买晶＋0赠晶；未接支付</x:v>
      </x:c>
      <x:c r="J111" s="9" t="str">
        <x:v>支付实装后</x:v>
      </x:c>
    </x:row>
    <x:row r="112" ht="48" customHeight="1">
      <x:c r="A112" s="10" t="str">
        <x:v>PAY_68</x:v>
      </x:c>
      <x:c r="B112" s="10" t="str">
        <x:v>C_STAR_PAID</x:v>
      </x:c>
      <x:c r="C112" s="10" t="str">
        <x:v>68元充值档</x:v>
      </x:c>
      <x:c r="D112" s="10" t="str">
        <x:v>人民币</x:v>
      </x:c>
      <x:c r="E112" s="10" t="n">
        <x:v>68</x:v>
      </x:c>
      <x:c r="F112" s="10" t="n">
        <x:v>714</x:v>
      </x:c>
      <x:c r="G112" s="10" t="str">
        <x:v>无强制限购</x:v>
      </x:c>
      <x:c r="H112" s="10" t="str">
        <x:v>购买与赠送分账；加赠为赠送星晶</x:v>
      </x:c>
      <x:c r="I112" s="10" t="str">
        <x:v>基础680购买晶＋34赠晶；未接支付</x:v>
      </x:c>
      <x:c r="J112" s="10" t="str">
        <x:v>支付实装后</x:v>
      </x:c>
    </x:row>
    <x:row r="113" ht="48" customHeight="1">
      <x:c r="A113" s="9" t="str">
        <x:v>PAY_128</x:v>
      </x:c>
      <x:c r="B113" s="9" t="str">
        <x:v>C_STAR_PAID</x:v>
      </x:c>
      <x:c r="C113" s="9" t="str">
        <x:v>128元充值档</x:v>
      </x:c>
      <x:c r="D113" s="9" t="str">
        <x:v>人民币</x:v>
      </x:c>
      <x:c r="E113" s="9" t="n">
        <x:v>128</x:v>
      </x:c>
      <x:c r="F113" s="9" t="n">
        <x:v>1408</x:v>
      </x:c>
      <x:c r="G113" s="9" t="str">
        <x:v>无强制限购</x:v>
      </x:c>
      <x:c r="H113" s="9" t="str">
        <x:v>购买与赠送分账；加赠为赠送星晶</x:v>
      </x:c>
      <x:c r="I113" s="9" t="str">
        <x:v>基础1280购买晶＋128赠晶；未接支付</x:v>
      </x:c>
      <x:c r="J113" s="9" t="str">
        <x:v>支付实装后</x:v>
      </x:c>
    </x:row>
    <x:row r="114" ht="48" customHeight="1">
      <x:c r="A114" s="10" t="str">
        <x:v>BOOST_TRAVEL_HOUR</x:v>
      </x:c>
      <x:c r="B114" s="10" t="str">
        <x:v>TRAVEL_HOUR</x:v>
      </x:c>
      <x:c r="C114" s="10" t="str">
        <x:v>1小时旅行券</x:v>
      </x:c>
      <x:c r="D114" s="10" t="str">
        <x:v>星晶</x:v>
      </x:c>
      <x:c r="E114" s="10" t="n">
        <x:v>10</x:v>
      </x:c>
      <x:c r="F114" s="10" t="n">
        <x:v>1</x:v>
      </x:c>
      <x:c r="G114" s="10" t="str">
        <x:v>常驻；赠晶可用</x:v>
      </x:c>
      <x:c r="H114" s="10" t="str">
        <x:v>材料入背包；幂等扣费</x:v>
      </x:c>
      <x:c r="I114" s="10" t="str">
        <x:v>单次旅行最多缩短75%</x:v>
      </x:c>
      <x:c r="J114" s="10" t="str">
        <x:v>支付实装后</x:v>
      </x:c>
    </x:row>
    <x:row r="115" ht="48" customHeight="1">
      <x:c r="A115" s="9" t="str">
        <x:v>BOOST_FERT_TIME30</x:v>
      </x:c>
      <x:c r="B115" s="9" t="str">
        <x:v>FERT_TIME30</x:v>
      </x:c>
      <x:c r="C115" s="9" t="str">
        <x:v>30分钟加速肥</x:v>
      </x:c>
      <x:c r="D115" s="9" t="str">
        <x:v>星晶</x:v>
      </x:c>
      <x:c r="E115" s="9" t="n">
        <x:v>5</x:v>
      </x:c>
      <x:c r="F115" s="9" t="n">
        <x:v>1</x:v>
      </x:c>
      <x:c r="G115" s="9" t="str">
        <x:v>常驻；赠晶可用</x:v>
      </x:c>
      <x:c r="H115" s="9" t="str">
        <x:v>材料入背包；幂等扣费</x:v>
      </x:c>
      <x:c r="I115" s="9" t="str">
        <x:v>每株累积最多缩短75%</x:v>
      </x:c>
      <x:c r="J115" s="9" t="str">
        <x:v>支付实装后</x:v>
      </x:c>
    </x:row>
    <x:row r="116" ht="48" customHeight="1">
      <x:c r="A116" s="10" t="str">
        <x:v>BOOST_FERT_TIME180</x:v>
      </x:c>
      <x:c r="B116" s="10" t="str">
        <x:v>FERT_TIME180</x:v>
      </x:c>
      <x:c r="C116" s="10" t="str">
        <x:v>3小时加速肥</x:v>
      </x:c>
      <x:c r="D116" s="10" t="str">
        <x:v>星晶</x:v>
      </x:c>
      <x:c r="E116" s="10" t="n">
        <x:v>25</x:v>
      </x:c>
      <x:c r="F116" s="10" t="n">
        <x:v>1</x:v>
      </x:c>
      <x:c r="G116" s="10" t="str">
        <x:v>常驻；赠晶可用</x:v>
      </x:c>
      <x:c r="H116" s="10" t="str">
        <x:v>材料入背包；幂等扣费</x:v>
      </x:c>
      <x:c r="I116" s="10" t="str">
        <x:v>每株累积最多缩短75%</x:v>
      </x:c>
      <x:c r="J116" s="10" t="str">
        <x:v>支付实装后</x:v>
      </x:c>
    </x:row>
    <x:row r="117" ht="48" customHeight="1">
      <x:c r="A117" s="9" t="str">
        <x:v>BOOST_OIL_NORMAL</x:v>
      </x:c>
      <x:c r="B117" s="9" t="str">
        <x:v>OIL_NORMAL</x:v>
      </x:c>
      <x:c r="C117" s="9" t="str">
        <x:v>普通精油</x:v>
      </x:c>
      <x:c r="D117" s="9" t="str">
        <x:v>星晶</x:v>
      </x:c>
      <x:c r="E117" s="9" t="n">
        <x:v>8</x:v>
      </x:c>
      <x:c r="F117" s="9" t="n">
        <x:v>1</x:v>
      </x:c>
      <x:c r="G117" s="9" t="str">
        <x:v>常驻；赠晶可用</x:v>
      </x:c>
      <x:c r="H117" s="9" t="str">
        <x:v>材料入背包；幂等扣费</x:v>
      </x:c>
      <x:c r="I117" s="9" t="str">
        <x:v>沿用随机概率和失败保底</x:v>
      </x:c>
      <x:c r="J117" s="9" t="str">
        <x:v>支付实装后</x:v>
      </x:c>
    </x:row>
    <x:row r="118" ht="48" customHeight="1">
      <x:c r="A118" s="10" t="str">
        <x:v>BOOST_GOLD_PACK</x:v>
      </x:c>
      <x:c r="B118" s="10" t="str">
        <x:v>GOLD_PACK</x:v>
      </x:c>
      <x:c r="C118" s="10" t="str">
        <x:v>周转金币包</x:v>
      </x:c>
      <x:c r="D118" s="10" t="str">
        <x:v>星晶</x:v>
      </x:c>
      <x:c r="E118" s="10" t="n">
        <x:v>20</x:v>
      </x:c>
      <x:c r="F118" s="10" t="n">
        <x:v>200</x:v>
      </x:c>
      <x:c r="G118" s="10" t="str">
        <x:v>常驻；赠晶可用</x:v>
      </x:c>
      <x:c r="H118" s="10" t="str">
        <x:v>材料入背包；幂等扣费</x:v>
      </x:c>
      <x:c r="I118" s="10" t="str">
        <x:v>每日最多3包</x:v>
      </x:c>
      <x:c r="J118" s="10" t="str">
        <x:v>支付实装后</x:v>
      </x:c>
    </x:row>
  </x:sheetData>
  <x:pageMargins left="0.7" right="0.7" top="0.75" bottom="0.75" header="0.3" footer="0.3"/>
  <x:tableParts count="1">
    <x:tablePart xmlns:r="http://schemas.openxmlformats.org/officeDocument/2006/relationships" r:id="R9133445e144b44f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" hidden="0" customWidth="1"/>
    <x:col min="3" max="3" width="20" hidden="0" customWidth="1"/>
    <x:col min="4" max="4" width="21" hidden="0" customWidth="1"/>
    <x:col min="5" max="5" width="25" hidden="0" customWidth="1"/>
    <x:col min="6" max="6" width="23" hidden="0" customWidth="1"/>
    <x:col min="7" max="7" width="23" hidden="0" customWidth="1"/>
    <x:col min="8" max="8" width="25" hidden="0" customWidth="1"/>
    <x:col min="9" max="9" width="25" hidden="0" customWidth="1"/>
    <x:col min="10" max="10" width="27" hidden="0" customWidth="1"/>
    <x:col min="11" max="11" width="22" hidden="0" customWidth="1"/>
    <x:col min="12" max="12" width="59" hidden="0" customWidth="1"/>
    <x:col min="13" max="13" width="65" hidden="0" customWidth="1"/>
    <x:col min="14" max="14" width="60" hidden="0" customWidth="1"/>
    <x:col min="15" max="15" width="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动作生成计费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8" t="str">
        <x:v>服务ID</x:v>
      </x:c>
      <x:c r="B6" s="8" t="str">
        <x:v>服务</x:v>
      </x:c>
      <x:c r="C6" s="8" t="str">
        <x:v>适用类型</x:v>
      </x:c>
      <x:c r="D6" s="8" t="str">
        <x:v>候选标价星晶</x:v>
      </x:c>
      <x:c r="E6" s="8" t="str">
        <x:v>单次供应商成本元</x:v>
      </x:c>
      <x:c r="F6" s="8" t="str">
        <x:v>验收成功率假设</x:v>
      </x:c>
      <x:c r="G6" s="8" t="str">
        <x:v>后处理成本元</x:v>
      </x:c>
      <x:c r="H6" s="8" t="str">
        <x:v>存储分发成本元</x:v>
      </x:c>
      <x:c r="I6" s="8" t="str">
        <x:v>预计交付成本元</x:v>
      </x:c>
      <x:c r="J6" s="8" t="str">
        <x:v>成本要求最低星晶</x:v>
      </x:c>
      <x:c r="K6" s="8" t="str">
        <x:v>候选价贡献率</x:v>
      </x:c>
      <x:c r="L6" s="8" t="str">
        <x:v>结算条件</x:v>
      </x:c>
      <x:c r="M6" s="8" t="str">
        <x:v>失败退款</x:v>
      </x:c>
      <x:c r="N6" s="8" t="str">
        <x:v>范围</x:v>
      </x:c>
      <x:c r="O6" s="8" t="str">
        <x:v>当前状态</x:v>
      </x:c>
    </x:row>
    <x:row r="7" ht="48" customHeight="1">
      <x:c r="A7" s="9" t="str">
        <x:v>GEN_EMOTE</x:v>
      </x:c>
      <x:c r="B7" s="9" t="str">
        <x:v>表情包新增表情</x:v>
      </x:c>
      <x:c r="C7" s="9" t="str">
        <x:v>表情包</x:v>
      </x:c>
      <x:c r="D7" s="9" t="n">
        <x:v>30</x:v>
      </x:c>
      <x:c r="E7" s="23"/>
      <x:c r="F7" s="23" t="n">
        <x:v>0.9</x:v>
      </x:c>
      <x:c r="G7" s="23" t="n">
        <x:v>0.05</x:v>
      </x:c>
      <x:c r="H7" s="23" t="n">
        <x:v>0.05</x:v>
      </x:c>
      <x:c r="I7" s="9" t="str">
        <x:f>IF(AND(ISNUMBER(E7),ISNUMBER(F7),F7&gt;0,ISNUMBER(G7),ISNUMBER(H7)),E7/F7+G7+H7,"待成本实测")</x:f>
        <x:v>待成本实测</x:v>
      </x:c>
      <x:c r="J7" s="9" t="str">
        <x:f>IF(ISNUMBER(I7),ROUNDUP(I7/(1-'参数'!$D$73)*'参数'!$D$60*(1+'参数'!$D$71)/(1-'参数'!$D$72)/10,0)*10,"待成本实测")</x:f>
        <x:v>待成本实测</x:v>
      </x:c>
      <x:c r="K7" s="19" t="str">
        <x:f>IF(AND(ISNUMBER(I7),ISNUMBER(D7),D7&gt;0),1-I7/(D7/'参数'!$D$60/(1+'参数'!$D$71)*(1-'参数'!$D$72)),"待成本实测")</x:f>
        <x:v>待成本实测</x:v>
      </x:c>
      <x:c r="L7" s="9" t="str">
        <x:v>上传表情预览通过</x:v>
      </x:c>
      <x:c r="M7" s="9" t="str">
        <x:v>失败自动退预扣；主动重生成新订单</x:v>
      </x:c>
      <x:c r="N7" s="9" t="str">
        <x:v>报价冻结15分钟</x:v>
      </x:c>
      <x:c r="O7" s="9" t="str">
        <x:v>未接星晶账本</x:v>
      </x:c>
    </x:row>
    <x:row r="8" ht="48" customHeight="1">
      <x:c r="A8" s="10" t="str">
        <x:v>GEN_VIDEO</x:v>
      </x:c>
      <x:c r="B8" s="10" t="str">
        <x:v>单条短动作</x:v>
      </x:c>
      <x:c r="C8" s="10" t="str">
        <x:v>视频</x:v>
      </x:c>
      <x:c r="D8" s="10" t="n">
        <x:v>240</x:v>
      </x:c>
      <x:c r="E8" s="23"/>
      <x:c r="F8" s="23" t="n">
        <x:v>0.8</x:v>
      </x:c>
      <x:c r="G8" s="23" t="n">
        <x:v>0.2</x:v>
      </x:c>
      <x:c r="H8" s="23" t="n">
        <x:v>0.1</x:v>
      </x:c>
      <x:c r="I8" s="10" t="str">
        <x:f>IF(AND(ISNUMBER(E8),ISNUMBER(F8),F8&gt;0,ISNUMBER(G8),ISNUMBER(H8)),E8/F8+G8+H8,"待成本实测")</x:f>
        <x:v>待成本实测</x:v>
      </x:c>
      <x:c r="J8" s="10" t="str">
        <x:f>IF(ISNUMBER(I8),ROUNDUP(I8/(1-'参数'!$D$73)*'参数'!$D$60*(1+'参数'!$D$71)/(1-'参数'!$D$72)/10,0)*10,"待成本实测")</x:f>
        <x:v>待成本实测</x:v>
      </x:c>
      <x:c r="K8" s="20" t="str">
        <x:f>IF(AND(ISNUMBER(I8),ISNUMBER(D8),D8&gt;0),1-I8/(D8/'参数'!$D$60/(1+'参数'!$D$71)*(1-'参数'!$D$72)),"待成本实测")</x:f>
        <x:v>待成本实测</x:v>
      </x:c>
      <x:c r="L8" s="10" t="str">
        <x:v>生成＋抠像＋透明质检通过</x:v>
      </x:c>
      <x:c r="M8" s="10" t="str">
        <x:v>同任务免费重试不重复扣；最终失败全退</x:v>
      </x:c>
      <x:c r="N8" s="10" t="str">
        <x:v>约5秒，分辨率与时长固定</x:v>
      </x:c>
      <x:c r="O8" s="10" t="str">
        <x:v>已有生成，计费待改</x:v>
      </x:c>
    </x:row>
    <x:row r="9" ht="48" customHeight="1">
      <x:c r="A9" s="9" t="str">
        <x:v>GEN_VIDEO_COMPLEX</x:v>
      </x:c>
      <x:c r="B9" s="9" t="str">
        <x:v>复杂道具动作</x:v>
      </x:c>
      <x:c r="C9" s="9" t="str">
        <x:v>视频</x:v>
      </x:c>
      <x:c r="D9" s="9" t="n">
        <x:v>480</x:v>
      </x:c>
      <x:c r="E9" s="23"/>
      <x:c r="F9" s="23" t="n">
        <x:v>0.7</x:v>
      </x:c>
      <x:c r="G9" s="23" t="n">
        <x:v>0.3</x:v>
      </x:c>
      <x:c r="H9" s="23" t="n">
        <x:v>0.15</x:v>
      </x:c>
      <x:c r="I9" s="9" t="str">
        <x:f>IF(AND(ISNUMBER(E9),ISNUMBER(F9),F9&gt;0,ISNUMBER(G9),ISNUMBER(H9)),E9/F9+G9+H9,"待成本实测")</x:f>
        <x:v>待成本实测</x:v>
      </x:c>
      <x:c r="J9" s="9" t="str">
        <x:f>IF(ISNUMBER(I9),ROUNDUP(I9/(1-'参数'!$D$73)*'参数'!$D$60*(1+'参数'!$D$71)/(1-'参数'!$D$72)/10,0)*10,"待成本实测")</x:f>
        <x:v>待成本实测</x:v>
      </x:c>
      <x:c r="K9" s="19" t="str">
        <x:f>IF(AND(ISNUMBER(I9),ISNUMBER(D9),D9&gt;0),1-I9/(D9/'参数'!$D$60/(1+'参数'!$D$71)*(1-'参数'!$D$72)),"待成本实测")</x:f>
        <x:v>待成本实测</x:v>
      </x:c>
      <x:c r="L9" s="9" t="str">
        <x:v>道具约束、透明质检均通过</x:v>
      </x:c>
      <x:c r="M9" s="9" t="str">
        <x:v>失败全退；满意度重做需新报价</x:v>
      </x:c>
      <x:c r="N9" s="9" t="str">
        <x:v>先提示角色适配和费用</x:v>
      </x:c>
      <x:c r="O9" s="9" t="str">
        <x:v>现有部分动作，计费待改</x:v>
      </x:c>
    </x:row>
    <x:row r="10" ht="48" customHeight="1">
      <x:c r="A10" s="10" t="str">
        <x:v>GEN_SPINE_PACK</x:v>
      </x:c>
      <x:c r="B10" s="10" t="str">
        <x:v>骨骼动作包制作</x:v>
      </x:c>
      <x:c r="C10" s="10" t="str">
        <x:v>Spine</x:v>
      </x:c>
      <x:c r="D10" s="10"/>
      <x:c r="E10" s="23"/>
      <x:c r="F10" s="23"/>
      <x:c r="G10" s="23"/>
      <x:c r="H10" s="23"/>
      <x:c r="I10" s="10" t="str">
        <x:f>IF(AND(ISNUMBER(E10),ISNUMBER(F10),F10&gt;0,ISNUMBER(G10),ISNUMBER(H10)),E10/F10+G10+H10,"待成本实测")</x:f>
        <x:v>待成本实测</x:v>
      </x:c>
      <x:c r="J10" s="10" t="str">
        <x:f>IF(ISNUMBER(I10),ROUNDUP(I10/(1-'参数'!$D$73)*'参数'!$D$60*(1+'参数'!$D$71)/(1-'参数'!$D$72)/10,0)*10,"待成本实测")</x:f>
        <x:v>待成本实测</x:v>
      </x:c>
      <x:c r="K10" s="20" t="str">
        <x:f>IF(AND(ISNUMBER(I10),ISNUMBER(D10),D10&gt;0),1-I10/(D10/'参数'!$D$60/(1+'参数'!$D$71)*(1-'参数'!$D$72)),"待成本实测")</x:f>
        <x:v>待成本实测</x:v>
      </x:c>
      <x:c r="L10" s="10" t="str">
        <x:v>骨骼兼容、姿势碰撞与循环验收</x:v>
      </x:c>
      <x:c r="M10" s="10" t="str">
        <x:v>不支持时不售卖，不扣费</x:v>
      </x:c>
      <x:c r="N10" s="10" t="str">
        <x:v>目前无任意动作自动生成能力</x:v>
      </x:c>
      <x:c r="O10" s="10" t="str">
        <x:v>研发中，禁止上架</x:v>
      </x:c>
    </x:row>
    <x:row r="11" ht="48" customHeight="1">
      <x:c r="A11" s="9" t="str">
        <x:v>GEN_CHARACTER</x:v>
      </x:c>
      <x:c r="B11" s="9" t="str">
        <x:v>新角色基础包</x:v>
      </x:c>
      <x:c r="C11" s="9" t="str">
        <x:v>视频/表情包</x:v>
      </x:c>
      <x:c r="D11" s="9" t="n">
        <x:v>980</x:v>
      </x:c>
      <x:c r="E11" s="23"/>
      <x:c r="F11" s="23" t="n">
        <x:v>0.8</x:v>
      </x:c>
      <x:c r="G11" s="23" t="n">
        <x:v>0.5</x:v>
      </x:c>
      <x:c r="H11" s="23" t="n">
        <x:v>0.2</x:v>
      </x:c>
      <x:c r="I11" s="9" t="str">
        <x:f>IF(AND(ISNUMBER(E11),ISNUMBER(F11),F11&gt;0,ISNUMBER(G11),ISNUMBER(H11)),E11/F11+G11+H11,"待成本实测")</x:f>
        <x:v>待成本实测</x:v>
      </x:c>
      <x:c r="J11" s="9" t="str">
        <x:f>IF(ISNUMBER(I11),ROUNDUP(I11/(1-'参数'!$D$73)*'参数'!$D$60*(1+'参数'!$D$71)/(1-'参数'!$D$72)/10,0)*10,"待成本实测")</x:f>
        <x:v>待成本实测</x:v>
      </x:c>
      <x:c r="K11" s="19" t="str">
        <x:f>IF(AND(ISNUMBER(I11),ISNUMBER(D11),D11&gt;0),1-I11/(D11/'参数'!$D$60/(1+'参数'!$D$71)*(1-'参数'!$D$72)),"待成本实测")</x:f>
        <x:v>待成本实测</x:v>
      </x:c>
      <x:c r="L11" s="9" t="str">
        <x:v>基础动作包全部完成可下载</x:v>
      </x:c>
      <x:c r="M11" s="9" t="str">
        <x:v>以整包验收结算；部分失败可续跑</x:v>
      </x:c>
      <x:c r="N11" s="9" t="str">
        <x:v>不包含未来所有动作无限生成</x:v>
      </x:c>
      <x:c r="O11" s="9" t="str">
        <x:v>已有生成，真实报价待测</x:v>
      </x:c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4">
      <x:c r="A14" t="str">
        <x:v>标价为设计候选，不是供应商报价。E列留空，填入真实账单后才计算保本线；上线价不得低于J列。</x:v>
      </x:c>
    </x:row>
    <x:row r="15">
      <x:c r="A15" t="str">
        <x:v>只花购买星晶；赠送晶与普通抽奖券不能支付生成。试用通过限额服务券，营销预算独立承担成本。</x:v>
      </x:c>
    </x:row>
    <x:row r="16">
      <x:c r="A16" t="str">
        <x:v>报价→冻结购买晶→执行→验收→结算；失败释放。退款、幂等订单、账本对账完成前不得接真实支付。</x:v>
      </x:c>
    </x:row>
  </x:sheetData>
  <x:pageMargins left="0.7" right="0.7" top="0.75" bottom="0.75" header="0.3" footer="0.3"/>
  <x:tableParts count="1">
    <x:tablePart xmlns:r="http://schemas.openxmlformats.org/officeDocument/2006/relationships" r:id="R42e886674e6440e3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A2" s="3" t="str">
        <x:v>90天收支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>
      <x:c r="A4" s="2" t="str">
        <x:v>预算模型：可选家具/兑换不足则跳过，不作部分扣费。购买晶不自动消费；星屑仅算保底下限，不预测重复收益。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 ht="34" customHeight="1">
      <x:c r="A6" s="8" t="str">
        <x:v>天数</x:v>
      </x:c>
      <x:c r="B6" s="8" t="str">
        <x:v>期初金币</x:v>
      </x:c>
      <x:c r="C6" s="8" t="str">
        <x:v>出售收入</x:v>
      </x:c>
      <x:c r="D6" s="8" t="str">
        <x:v>种子成本</x:v>
      </x:c>
      <x:c r="E6" s="8" t="str">
        <x:v>心愿周奖励</x:v>
      </x:c>
      <x:c r="F6" s="8" t="str">
        <x:v>旅行成本</x:v>
      </x:c>
      <x:c r="G6" s="8" t="str">
        <x:v>精油成本</x:v>
      </x:c>
      <x:c r="H6" s="8" t="str">
        <x:v>肥料成本</x:v>
      </x:c>
      <x:c r="I6" s="8" t="str">
        <x:v>金币抽取消耗</x:v>
      </x:c>
      <x:c r="J6" s="8" t="str">
        <x:v>计划家具费</x:v>
      </x:c>
      <x:c r="K6" s="8" t="str">
        <x:v>实际家具费</x:v>
      </x:c>
      <x:c r="L6" s="8" t="str">
        <x:v>期末金币</x:v>
      </x:c>
      <x:c r="M6" s="8" t="str">
        <x:v>赠晶收入</x:v>
      </x:c>
      <x:c r="N6" s="8" t="str">
        <x:v>珍藏券收入</x:v>
      </x:c>
      <x:c r="O6" s="8" t="str">
        <x:v>当日珍藏抽数</x:v>
      </x:c>
      <x:c r="P6" s="8" t="str">
        <x:v>期末赠晶</x:v>
      </x:c>
      <x:c r="Q6" s="8" t="str">
        <x:v>购买晶收入</x:v>
      </x:c>
      <x:c r="R6" s="8" t="str">
        <x:v>购买晶余额</x:v>
      </x:c>
      <x:c r="S6" s="8" t="str">
        <x:v>累计珍藏抽数</x:v>
      </x:c>
      <x:c r="T6" s="8" t="str">
        <x:v>星屑下限收入</x:v>
      </x:c>
      <x:c r="U6" s="8" t="str">
        <x:v>计划兑换星屑</x:v>
      </x:c>
      <x:c r="V6" s="8" t="str">
        <x:v>实际兑换星屑</x:v>
      </x:c>
      <x:c r="W6" s="8" t="str">
        <x:v>星屑下限余额</x:v>
      </x:c>
    </x:row>
    <x:row r="7" ht="48" customHeight="1">
      <x:c r="A7" s="9" t="n">
        <x:v>1</x:v>
      </x:c>
      <x:c r="B7" s="9" t="n">
        <x:f>'参数'!$D$51</x:f>
        <x:v>600</x:v>
      </x:c>
      <x:c r="C7" s="9" t="n">
        <x:f>'参数'!$D$7*'参数'!$D$11*'参数'!$D$15</x:f>
        <x:v>720</x:v>
      </x:c>
      <x:c r="D7" s="9" t="n">
        <x:f>'参数'!$D$7*'参数'!$D$19</x:f>
        <x:v>240</x:v>
      </x:c>
      <x:c r="E7" s="9" t="n">
        <x:f>'参数'!$D$23*'参数'!$D$53+IF(MOD(A7,7)=0,'参数'!$D$54,0)</x:f>
        <x:v>40</x:v>
      </x:c>
      <x:c r="F7" s="9" t="n">
        <x:f>(INT(A7*'参数'!$D$35/7)-INT((A7-1)*'参数'!$D$35/7))*IF(A7&lt;=30,'参数'!$D$56,IF(A7&lt;=60,'参数'!$D$57,'参数'!$D$58))+IF(A7=1,60,0)</x:f>
        <x:v>60</x:v>
      </x:c>
      <x:c r="G7" s="9" t="n">
        <x:f>(INT(A7*'参数'!$D$27)-INT((A7-1)*'参数'!$D$27))*'参数'!$D$55</x:f>
        <x:v>35</x:v>
      </x:c>
      <x:c r="H7" s="9" t="n">
        <x:f>'参数'!$D$31</x:f>
        <x:v>10</x:v>
      </x:c>
      <x:c r="I7" s="9" t="n">
        <x:f>(INT(A7*'参数'!$D$39/7)-INT((A7-1)*'参数'!$D$39/7))*'参数'!$D$59</x:f>
        <x:v>0</x:v>
      </x:c>
      <x:c r="J7" s="9" t="n">
        <x:f>IF(A7=30,4000,IF(A7=60,6000,IF(A7=90,9000,IF(MOD(A7,7)=0,'参数'!$D$43,0))))</x:f>
        <x:v>0</x:v>
      </x:c>
      <x:c r="K7" s="9" t="n">
        <x:f>IF(B7+C7-D7+E7-F7-G7-H7-I7-'参数'!$D$52&gt;=J7,J7,0)</x:f>
        <x:v>0</x:v>
      </x:c>
      <x:c r="L7" s="9" t="n">
        <x:f>B7+C7-D7+E7-F7-G7-H7-I7-K7</x:f>
        <x:v>1015</x:v>
      </x:c>
      <x:c r="M7" s="9" t="n">
        <x:f>IF(A7=1,'参数'!$D$64,0)+IF(MOD(A7,7)=0,'参数'!$D$62,0)+IF(MOD(A7,30)=0,'参数'!$D$63,0)</x:f>
        <x:v>120</x:v>
      </x:c>
      <x:c r="N7" s="9" t="n">
        <x:f>IF(OR(A7=1,A7=7),'参数'!$D$65/2,0)+IF(MOD(A7,7)=0,'参数'!$D$66,0)</x:f>
        <x:v>5</x:v>
      </x:c>
      <x:c r="O7" s="9" t="n">
        <x:f>N7+INT((0+M7)/'参数'!$D$61)</x:f>
        <x:v>7</x:v>
      </x:c>
      <x:c r="P7" s="9" t="n">
        <x:f>0+M7-(O7-N7)*'参数'!$D$61</x:f>
        <x:v>0</x:v>
      </x:c>
      <x:c r="Q7" s="9" t="n">
        <x:f>IF(OR(A7=1,A7=31,A7=61),'参数'!$D$70*'参数'!$D$60,0)</x:f>
        <x:v>0</x:v>
      </x:c>
      <x:c r="R7" s="9" t="n">
        <x:f>0+Q7</x:f>
        <x:v>0</x:v>
      </x:c>
      <x:c r="S7" s="9" t="n">
        <x:f>0+O7</x:f>
        <x:v>7</x:v>
      </x:c>
      <x:c r="T7" s="9" t="n">
        <x:f>O7*2+IF(MOD(A7,7)=0,'参数'!$D$68,0)+IF(A7=7,'参数'!$D$69,0)</x:f>
        <x:v>14</x:v>
      </x:c>
      <x:c r="U7" s="9" t="n">
        <x:f>IF(A7=90,160,0)</x:f>
        <x:v>0</x:v>
      </x:c>
      <x:c r="V7" s="9" t="n">
        <x:f>IF(0+T7&gt;=U7,U7,0)</x:f>
        <x:v>0</x:v>
      </x:c>
      <x:c r="W7" s="9" t="n">
        <x:f>0+T7-V7</x:f>
        <x:v>14</x:v>
      </x:c>
    </x:row>
    <x:row r="8" ht="48" customHeight="1">
      <x:c r="A8" s="10" t="n">
        <x:v>2</x:v>
      </x:c>
      <x:c r="B8" s="10" t="n">
        <x:f>L7</x:f>
        <x:v>1015</x:v>
      </x:c>
      <x:c r="C8" s="10" t="n">
        <x:f>'参数'!$D$7*'参数'!$D$11*'参数'!$D$15</x:f>
        <x:v>720</x:v>
      </x:c>
      <x:c r="D8" s="10" t="n">
        <x:f>'参数'!$D$7*'参数'!$D$19</x:f>
        <x:v>240</x:v>
      </x:c>
      <x:c r="E8" s="10" t="n">
        <x:f>'参数'!$D$23*'参数'!$D$53+IF(MOD(A8,7)=0,'参数'!$D$54,0)</x:f>
        <x:v>40</x:v>
      </x:c>
      <x:c r="F8" s="10" t="n">
        <x:f>(INT(A8*'参数'!$D$35/7)-INT((A8-1)*'参数'!$D$35/7))*IF(A8&lt;=30,'参数'!$D$56,IF(A8&lt;=60,'参数'!$D$57,'参数'!$D$58))+IF(A8=1,60,0)</x:f>
        <x:v>0</x:v>
      </x:c>
      <x:c r="G8" s="10" t="n">
        <x:f>(INT(A8*'参数'!$D$27)-INT((A8-1)*'参数'!$D$27))*'参数'!$D$55</x:f>
        <x:v>35</x:v>
      </x:c>
      <x:c r="H8" s="10" t="n">
        <x:f>'参数'!$D$31</x:f>
        <x:v>10</x:v>
      </x:c>
      <x:c r="I8" s="10" t="n">
        <x:f>(INT(A8*'参数'!$D$39/7)-INT((A8-1)*'参数'!$D$39/7))*'参数'!$D$59</x:f>
        <x:v>0</x:v>
      </x:c>
      <x:c r="J8" s="10" t="n">
        <x:f>IF(A8=30,4000,IF(A8=60,6000,IF(A8=90,9000,IF(MOD(A8,7)=0,'参数'!$D$43,0))))</x:f>
        <x:v>0</x:v>
      </x:c>
      <x:c r="K8" s="10" t="n">
        <x:f>IF(B8+C8-D8+E8-F8-G8-H8-I8-'参数'!$D$52&gt;=J8,J8,0)</x:f>
        <x:v>0</x:v>
      </x:c>
      <x:c r="L8" s="10" t="n">
        <x:f>B8+C8-D8+E8-F8-G8-H8-I8-K8</x:f>
        <x:v>1490</x:v>
      </x:c>
      <x:c r="M8" s="10" t="n">
        <x:f>IF(A8=1,'参数'!$D$64,0)+IF(MOD(A8,7)=0,'参数'!$D$62,0)+IF(MOD(A8,30)=0,'参数'!$D$63,0)</x:f>
        <x:v>0</x:v>
      </x:c>
      <x:c r="N8" s="10" t="n">
        <x:f>IF(OR(A8=1,A8=7),'参数'!$D$65/2,0)+IF(MOD(A8,7)=0,'参数'!$D$66,0)</x:f>
        <x:v>0</x:v>
      </x:c>
      <x:c r="O8" s="10" t="n">
        <x:f>N8+INT((P7+M8)/'参数'!$D$61)</x:f>
        <x:v>0</x:v>
      </x:c>
      <x:c r="P8" s="10" t="n">
        <x:f>P7+M8-(O8-N8)*'参数'!$D$61</x:f>
        <x:v>0</x:v>
      </x:c>
      <x:c r="Q8" s="10" t="n">
        <x:f>IF(OR(A8=1,A8=31,A8=61),'参数'!$D$70*'参数'!$D$60,0)</x:f>
        <x:v>0</x:v>
      </x:c>
      <x:c r="R8" s="10" t="n">
        <x:f>R7+Q8</x:f>
        <x:v>0</x:v>
      </x:c>
      <x:c r="S8" s="10" t="n">
        <x:f>S7+O8</x:f>
        <x:v>7</x:v>
      </x:c>
      <x:c r="T8" s="10" t="n">
        <x:f>O8*2+IF(MOD(A8,7)=0,'参数'!$D$68,0)+IF(A8=7,'参数'!$D$69,0)</x:f>
        <x:v>0</x:v>
      </x:c>
      <x:c r="U8" s="10" t="n">
        <x:f>IF(A8=90,160,0)</x:f>
        <x:v>0</x:v>
      </x:c>
      <x:c r="V8" s="10" t="n">
        <x:f>IF(W7+T8&gt;=U8,U8,0)</x:f>
        <x:v>0</x:v>
      </x:c>
      <x:c r="W8" s="10" t="n">
        <x:f>W7+T8-V8</x:f>
        <x:v>14</x:v>
      </x:c>
    </x:row>
    <x:row r="9" ht="48" customHeight="1">
      <x:c r="A9" s="9" t="n">
        <x:v>3</x:v>
      </x:c>
      <x:c r="B9" s="9" t="n">
        <x:f>L8</x:f>
        <x:v>1490</x:v>
      </x:c>
      <x:c r="C9" s="9" t="n">
        <x:f>'参数'!$D$7*'参数'!$D$11*'参数'!$D$15</x:f>
        <x:v>720</x:v>
      </x:c>
      <x:c r="D9" s="9" t="n">
        <x:f>'参数'!$D$7*'参数'!$D$19</x:f>
        <x:v>240</x:v>
      </x:c>
      <x:c r="E9" s="9" t="n">
        <x:f>'参数'!$D$23*'参数'!$D$53+IF(MOD(A9,7)=0,'参数'!$D$54,0)</x:f>
        <x:v>40</x:v>
      </x:c>
      <x:c r="F9" s="9" t="n">
        <x:f>(INT(A9*'参数'!$D$35/7)-INT((A9-1)*'参数'!$D$35/7))*IF(A9&lt;=30,'参数'!$D$56,IF(A9&lt;=60,'参数'!$D$57,'参数'!$D$58))+IF(A9=1,60,0)</x:f>
        <x:v>200</x:v>
      </x:c>
      <x:c r="G9" s="9" t="n">
        <x:f>(INT(A9*'参数'!$D$27)-INT((A9-1)*'参数'!$D$27))*'参数'!$D$55</x:f>
        <x:v>35</x:v>
      </x:c>
      <x:c r="H9" s="9" t="n">
        <x:f>'参数'!$D$31</x:f>
        <x:v>10</x:v>
      </x:c>
      <x:c r="I9" s="9" t="n">
        <x:f>(INT(A9*'参数'!$D$39/7)-INT((A9-1)*'参数'!$D$39/7))*'参数'!$D$59</x:f>
        <x:v>0</x:v>
      </x:c>
      <x:c r="J9" s="9" t="n">
        <x:f>IF(A9=30,4000,IF(A9=60,6000,IF(A9=90,9000,IF(MOD(A9,7)=0,'参数'!$D$43,0))))</x:f>
        <x:v>0</x:v>
      </x:c>
      <x:c r="K9" s="9" t="n">
        <x:f>IF(B9+C9-D9+E9-F9-G9-H9-I9-'参数'!$D$52&gt;=J9,J9,0)</x:f>
        <x:v>0</x:v>
      </x:c>
      <x:c r="L9" s="9" t="n">
        <x:f>B9+C9-D9+E9-F9-G9-H9-I9-K9</x:f>
        <x:v>1765</x:v>
      </x:c>
      <x:c r="M9" s="9" t="n">
        <x:f>IF(A9=1,'参数'!$D$64,0)+IF(MOD(A9,7)=0,'参数'!$D$62,0)+IF(MOD(A9,30)=0,'参数'!$D$63,0)</x:f>
        <x:v>0</x:v>
      </x:c>
      <x:c r="N9" s="9" t="n">
        <x:f>IF(OR(A9=1,A9=7),'参数'!$D$65/2,0)+IF(MOD(A9,7)=0,'参数'!$D$66,0)</x:f>
        <x:v>0</x:v>
      </x:c>
      <x:c r="O9" s="9" t="n">
        <x:f>N9+INT((P8+M9)/'参数'!$D$61)</x:f>
        <x:v>0</x:v>
      </x:c>
      <x:c r="P9" s="9" t="n">
        <x:f>P8+M9-(O9-N9)*'参数'!$D$61</x:f>
        <x:v>0</x:v>
      </x:c>
      <x:c r="Q9" s="9" t="n">
        <x:f>IF(OR(A9=1,A9=31,A9=61),'参数'!$D$70*'参数'!$D$60,0)</x:f>
        <x:v>0</x:v>
      </x:c>
      <x:c r="R9" s="9" t="n">
        <x:f>R8+Q9</x:f>
        <x:v>0</x:v>
      </x:c>
      <x:c r="S9" s="9" t="n">
        <x:f>S8+O9</x:f>
        <x:v>7</x:v>
      </x:c>
      <x:c r="T9" s="9" t="n">
        <x:f>O9*2+IF(MOD(A9,7)=0,'参数'!$D$68,0)+IF(A9=7,'参数'!$D$69,0)</x:f>
        <x:v>0</x:v>
      </x:c>
      <x:c r="U9" s="9" t="n">
        <x:f>IF(A9=90,160,0)</x:f>
        <x:v>0</x:v>
      </x:c>
      <x:c r="V9" s="9" t="n">
        <x:f>IF(W8+T9&gt;=U9,U9,0)</x:f>
        <x:v>0</x:v>
      </x:c>
      <x:c r="W9" s="9" t="n">
        <x:f>W8+T9-V9</x:f>
        <x:v>14</x:v>
      </x:c>
    </x:row>
    <x:row r="10" ht="48" customHeight="1">
      <x:c r="A10" s="10" t="n">
        <x:v>4</x:v>
      </x:c>
      <x:c r="B10" s="10" t="n">
        <x:f>L9</x:f>
        <x:v>1765</x:v>
      </x:c>
      <x:c r="C10" s="10" t="n">
        <x:f>'参数'!$D$7*'参数'!$D$11*'参数'!$D$15</x:f>
        <x:v>720</x:v>
      </x:c>
      <x:c r="D10" s="10" t="n">
        <x:f>'参数'!$D$7*'参数'!$D$19</x:f>
        <x:v>240</x:v>
      </x:c>
      <x:c r="E10" s="10" t="n">
        <x:f>'参数'!$D$23*'参数'!$D$53+IF(MOD(A10,7)=0,'参数'!$D$54,0)</x:f>
        <x:v>40</x:v>
      </x:c>
      <x:c r="F10" s="10" t="n">
        <x:f>(INT(A10*'参数'!$D$35/7)-INT((A10-1)*'参数'!$D$35/7))*IF(A10&lt;=30,'参数'!$D$56,IF(A10&lt;=60,'参数'!$D$57,'参数'!$D$58))+IF(A10=1,60,0)</x:f>
        <x:v>0</x:v>
      </x:c>
      <x:c r="G10" s="10" t="n">
        <x:f>(INT(A10*'参数'!$D$27)-INT((A10-1)*'参数'!$D$27))*'参数'!$D$55</x:f>
        <x:v>35</x:v>
      </x:c>
      <x:c r="H10" s="10" t="n">
        <x:f>'参数'!$D$31</x:f>
        <x:v>10</x:v>
      </x:c>
      <x:c r="I10" s="10" t="n">
        <x:f>(INT(A10*'参数'!$D$39/7)-INT((A10-1)*'参数'!$D$39/7))*'参数'!$D$59</x:f>
        <x:v>0</x:v>
      </x:c>
      <x:c r="J10" s="10" t="n">
        <x:f>IF(A10=30,4000,IF(A10=60,6000,IF(A10=90,9000,IF(MOD(A10,7)=0,'参数'!$D$43,0))))</x:f>
        <x:v>0</x:v>
      </x:c>
      <x:c r="K10" s="10" t="n">
        <x:f>IF(B10+C10-D10+E10-F10-G10-H10-I10-'参数'!$D$52&gt;=J10,J10,0)</x:f>
        <x:v>0</x:v>
      </x:c>
      <x:c r="L10" s="10" t="n">
        <x:f>B10+C10-D10+E10-F10-G10-H10-I10-K10</x:f>
        <x:v>2240</x:v>
      </x:c>
      <x:c r="M10" s="10" t="n">
        <x:f>IF(A10=1,'参数'!$D$64,0)+IF(MOD(A10,7)=0,'参数'!$D$62,0)+IF(MOD(A10,30)=0,'参数'!$D$63,0)</x:f>
        <x:v>0</x:v>
      </x:c>
      <x:c r="N10" s="10" t="n">
        <x:f>IF(OR(A10=1,A10=7),'参数'!$D$65/2,0)+IF(MOD(A10,7)=0,'参数'!$D$66,0)</x:f>
        <x:v>0</x:v>
      </x:c>
      <x:c r="O10" s="10" t="n">
        <x:f>N10+INT((P9+M10)/'参数'!$D$61)</x:f>
        <x:v>0</x:v>
      </x:c>
      <x:c r="P10" s="10" t="n">
        <x:f>P9+M10-(O10-N10)*'参数'!$D$61</x:f>
        <x:v>0</x:v>
      </x:c>
      <x:c r="Q10" s="10" t="n">
        <x:f>IF(OR(A10=1,A10=31,A10=61),'参数'!$D$70*'参数'!$D$60,0)</x:f>
        <x:v>0</x:v>
      </x:c>
      <x:c r="R10" s="10" t="n">
        <x:f>R9+Q10</x:f>
        <x:v>0</x:v>
      </x:c>
      <x:c r="S10" s="10" t="n">
        <x:f>S9+O10</x:f>
        <x:v>7</x:v>
      </x:c>
      <x:c r="T10" s="10" t="n">
        <x:f>O10*2+IF(MOD(A10,7)=0,'参数'!$D$68,0)+IF(A10=7,'参数'!$D$69,0)</x:f>
        <x:v>0</x:v>
      </x:c>
      <x:c r="U10" s="10" t="n">
        <x:f>IF(A10=90,160,0)</x:f>
        <x:v>0</x:v>
      </x:c>
      <x:c r="V10" s="10" t="n">
        <x:f>IF(W9+T10&gt;=U10,U10,0)</x:f>
        <x:v>0</x:v>
      </x:c>
      <x:c r="W10" s="10" t="n">
        <x:f>W9+T10-V10</x:f>
        <x:v>14</x:v>
      </x:c>
    </x:row>
    <x:row r="11" ht="48" customHeight="1">
      <x:c r="A11" s="9" t="n">
        <x:v>5</x:v>
      </x:c>
      <x:c r="B11" s="9" t="n">
        <x:f>L10</x:f>
        <x:v>2240</x:v>
      </x:c>
      <x:c r="C11" s="9" t="n">
        <x:f>'参数'!$D$7*'参数'!$D$11*'参数'!$D$15</x:f>
        <x:v>720</x:v>
      </x:c>
      <x:c r="D11" s="9" t="n">
        <x:f>'参数'!$D$7*'参数'!$D$19</x:f>
        <x:v>240</x:v>
      </x:c>
      <x:c r="E11" s="9" t="n">
        <x:f>'参数'!$D$23*'参数'!$D$53+IF(MOD(A11,7)=0,'参数'!$D$54,0)</x:f>
        <x:v>40</x:v>
      </x:c>
      <x:c r="F11" s="9" t="n">
        <x:f>(INT(A11*'参数'!$D$35/7)-INT((A11-1)*'参数'!$D$35/7))*IF(A11&lt;=30,'参数'!$D$56,IF(A11&lt;=60,'参数'!$D$57,'参数'!$D$58))+IF(A11=1,60,0)</x:f>
        <x:v>200</x:v>
      </x:c>
      <x:c r="G11" s="9" t="n">
        <x:f>(INT(A11*'参数'!$D$27)-INT((A11-1)*'参数'!$D$27))*'参数'!$D$55</x:f>
        <x:v>35</x:v>
      </x:c>
      <x:c r="H11" s="9" t="n">
        <x:f>'参数'!$D$31</x:f>
        <x:v>10</x:v>
      </x:c>
      <x:c r="I11" s="9" t="n">
        <x:f>(INT(A11*'参数'!$D$39/7)-INT((A11-1)*'参数'!$D$39/7))*'参数'!$D$59</x:f>
        <x:v>0</x:v>
      </x:c>
      <x:c r="J11" s="9" t="n">
        <x:f>IF(A11=30,4000,IF(A11=60,6000,IF(A11=90,9000,IF(MOD(A11,7)=0,'参数'!$D$43,0))))</x:f>
        <x:v>0</x:v>
      </x:c>
      <x:c r="K11" s="9" t="n">
        <x:f>IF(B11+C11-D11+E11-F11-G11-H11-I11-'参数'!$D$52&gt;=J11,J11,0)</x:f>
        <x:v>0</x:v>
      </x:c>
      <x:c r="L11" s="9" t="n">
        <x:f>B11+C11-D11+E11-F11-G11-H11-I11-K11</x:f>
        <x:v>2515</x:v>
      </x:c>
      <x:c r="M11" s="9" t="n">
        <x:f>IF(A11=1,'参数'!$D$64,0)+IF(MOD(A11,7)=0,'参数'!$D$62,0)+IF(MOD(A11,30)=0,'参数'!$D$63,0)</x:f>
        <x:v>0</x:v>
      </x:c>
      <x:c r="N11" s="9" t="n">
        <x:f>IF(OR(A11=1,A11=7),'参数'!$D$65/2,0)+IF(MOD(A11,7)=0,'参数'!$D$66,0)</x:f>
        <x:v>0</x:v>
      </x:c>
      <x:c r="O11" s="9" t="n">
        <x:f>N11+INT((P10+M11)/'参数'!$D$61)</x:f>
        <x:v>0</x:v>
      </x:c>
      <x:c r="P11" s="9" t="n">
        <x:f>P10+M11-(O11-N11)*'参数'!$D$61</x:f>
        <x:v>0</x:v>
      </x:c>
      <x:c r="Q11" s="9" t="n">
        <x:f>IF(OR(A11=1,A11=31,A11=61),'参数'!$D$70*'参数'!$D$60,0)</x:f>
        <x:v>0</x:v>
      </x:c>
      <x:c r="R11" s="9" t="n">
        <x:f>R10+Q11</x:f>
        <x:v>0</x:v>
      </x:c>
      <x:c r="S11" s="9" t="n">
        <x:f>S10+O11</x:f>
        <x:v>7</x:v>
      </x:c>
      <x:c r="T11" s="9" t="n">
        <x:f>O11*2+IF(MOD(A11,7)=0,'参数'!$D$68,0)+IF(A11=7,'参数'!$D$69,0)</x:f>
        <x:v>0</x:v>
      </x:c>
      <x:c r="U11" s="9" t="n">
        <x:f>IF(A11=90,160,0)</x:f>
        <x:v>0</x:v>
      </x:c>
      <x:c r="V11" s="9" t="n">
        <x:f>IF(W10+T11&gt;=U11,U11,0)</x:f>
        <x:v>0</x:v>
      </x:c>
      <x:c r="W11" s="9" t="n">
        <x:f>W10+T11-V11</x:f>
        <x:v>14</x:v>
      </x:c>
    </x:row>
    <x:row r="12" ht="48" customHeight="1">
      <x:c r="A12" s="10" t="n">
        <x:v>6</x:v>
      </x:c>
      <x:c r="B12" s="10" t="n">
        <x:f>L11</x:f>
        <x:v>2515</x:v>
      </x:c>
      <x:c r="C12" s="10" t="n">
        <x:f>'参数'!$D$7*'参数'!$D$11*'参数'!$D$15</x:f>
        <x:v>720</x:v>
      </x:c>
      <x:c r="D12" s="10" t="n">
        <x:f>'参数'!$D$7*'参数'!$D$19</x:f>
        <x:v>240</x:v>
      </x:c>
      <x:c r="E12" s="10" t="n">
        <x:f>'参数'!$D$23*'参数'!$D$53+IF(MOD(A12,7)=0,'参数'!$D$54,0)</x:f>
        <x:v>40</x:v>
      </x:c>
      <x:c r="F12" s="10" t="n">
        <x:f>(INT(A12*'参数'!$D$35/7)-INT((A12-1)*'参数'!$D$35/7))*IF(A12&lt;=30,'参数'!$D$56,IF(A12&lt;=60,'参数'!$D$57,'参数'!$D$58))+IF(A12=1,60,0)</x:f>
        <x:v>0</x:v>
      </x:c>
      <x:c r="G12" s="10" t="n">
        <x:f>(INT(A12*'参数'!$D$27)-INT((A12-1)*'参数'!$D$27))*'参数'!$D$55</x:f>
        <x:v>35</x:v>
      </x:c>
      <x:c r="H12" s="10" t="n">
        <x:f>'参数'!$D$31</x:f>
        <x:v>10</x:v>
      </x:c>
      <x:c r="I12" s="10" t="n">
        <x:f>(INT(A12*'参数'!$D$39/7)-INT((A12-1)*'参数'!$D$39/7))*'参数'!$D$59</x:f>
        <x:v>0</x:v>
      </x:c>
      <x:c r="J12" s="10" t="n">
        <x:f>IF(A12=30,4000,IF(A12=60,6000,IF(A12=90,9000,IF(MOD(A12,7)=0,'参数'!$D$43,0))))</x:f>
        <x:v>0</x:v>
      </x:c>
      <x:c r="K12" s="10" t="n">
        <x:f>IF(B12+C12-D12+E12-F12-G12-H12-I12-'参数'!$D$52&gt;=J12,J12,0)</x:f>
        <x:v>0</x:v>
      </x:c>
      <x:c r="L12" s="10" t="n">
        <x:f>B12+C12-D12+E12-F12-G12-H12-I12-K12</x:f>
        <x:v>2990</x:v>
      </x:c>
      <x:c r="M12" s="10" t="n">
        <x:f>IF(A12=1,'参数'!$D$64,0)+IF(MOD(A12,7)=0,'参数'!$D$62,0)+IF(MOD(A12,30)=0,'参数'!$D$63,0)</x:f>
        <x:v>0</x:v>
      </x:c>
      <x:c r="N12" s="10" t="n">
        <x:f>IF(OR(A12=1,A12=7),'参数'!$D$65/2,0)+IF(MOD(A12,7)=0,'参数'!$D$66,0)</x:f>
        <x:v>0</x:v>
      </x:c>
      <x:c r="O12" s="10" t="n">
        <x:f>N12+INT((P11+M12)/'参数'!$D$61)</x:f>
        <x:v>0</x:v>
      </x:c>
      <x:c r="P12" s="10" t="n">
        <x:f>P11+M12-(O12-N12)*'参数'!$D$61</x:f>
        <x:v>0</x:v>
      </x:c>
      <x:c r="Q12" s="10" t="n">
        <x:f>IF(OR(A12=1,A12=31,A12=61),'参数'!$D$70*'参数'!$D$60,0)</x:f>
        <x:v>0</x:v>
      </x:c>
      <x:c r="R12" s="10" t="n">
        <x:f>R11+Q12</x:f>
        <x:v>0</x:v>
      </x:c>
      <x:c r="S12" s="10" t="n">
        <x:f>S11+O12</x:f>
        <x:v>7</x:v>
      </x:c>
      <x:c r="T12" s="10" t="n">
        <x:f>O12*2+IF(MOD(A12,7)=0,'参数'!$D$68,0)+IF(A12=7,'参数'!$D$69,0)</x:f>
        <x:v>0</x:v>
      </x:c>
      <x:c r="U12" s="10" t="n">
        <x:f>IF(A12=90,160,0)</x:f>
        <x:v>0</x:v>
      </x:c>
      <x:c r="V12" s="10" t="n">
        <x:f>IF(W11+T12&gt;=U12,U12,0)</x:f>
        <x:v>0</x:v>
      </x:c>
      <x:c r="W12" s="10" t="n">
        <x:f>W11+T12-V12</x:f>
        <x:v>14</x:v>
      </x:c>
    </x:row>
    <x:row r="13" ht="48" customHeight="1">
      <x:c r="A13" s="9" t="n">
        <x:v>7</x:v>
      </x:c>
      <x:c r="B13" s="9" t="n">
        <x:f>L12</x:f>
        <x:v>2990</x:v>
      </x:c>
      <x:c r="C13" s="9" t="n">
        <x:f>'参数'!$D$7*'参数'!$D$11*'参数'!$D$15</x:f>
        <x:v>720</x:v>
      </x:c>
      <x:c r="D13" s="9" t="n">
        <x:f>'参数'!$D$7*'参数'!$D$19</x:f>
        <x:v>240</x:v>
      </x:c>
      <x:c r="E13" s="9" t="n">
        <x:f>'参数'!$D$23*'参数'!$D$53+IF(MOD(A13,7)=0,'参数'!$D$54,0)</x:f>
        <x:v>180</x:v>
      </x:c>
      <x:c r="F13" s="9" t="n">
        <x:f>(INT(A13*'参数'!$D$35/7)-INT((A13-1)*'参数'!$D$35/7))*IF(A13&lt;=30,'参数'!$D$56,IF(A13&lt;=60,'参数'!$D$57,'参数'!$D$58))+IF(A13=1,60,0)</x:f>
        <x:v>200</x:v>
      </x:c>
      <x:c r="G13" s="9" t="n">
        <x:f>(INT(A13*'参数'!$D$27)-INT((A13-1)*'参数'!$D$27))*'参数'!$D$55</x:f>
        <x:v>35</x:v>
      </x:c>
      <x:c r="H13" s="9" t="n">
        <x:f>'参数'!$D$31</x:f>
        <x:v>10</x:v>
      </x:c>
      <x:c r="I13" s="9" t="n">
        <x:f>(INT(A13*'参数'!$D$39/7)-INT((A13-1)*'参数'!$D$39/7))*'参数'!$D$59</x:f>
        <x:v>300</x:v>
      </x:c>
      <x:c r="J13" s="9" t="n">
        <x:f>IF(A13=30,4000,IF(A13=60,6000,IF(A13=90,9000,IF(MOD(A13,7)=0,'参数'!$D$43,0))))</x:f>
        <x:v>900</x:v>
      </x:c>
      <x:c r="K13" s="9" t="n">
        <x:f>IF(B13+C13-D13+E13-F13-G13-H13-I13-'参数'!$D$52&gt;=J13,J13,0)</x:f>
        <x:v>900</x:v>
      </x:c>
      <x:c r="L13" s="9" t="n">
        <x:f>B13+C13-D13+E13-F13-G13-H13-I13-K13</x:f>
        <x:v>2205</x:v>
      </x:c>
      <x:c r="M13" s="9" t="n">
        <x:f>IF(A13=1,'参数'!$D$64,0)+IF(MOD(A13,7)=0,'参数'!$D$62,0)+IF(MOD(A13,30)=0,'参数'!$D$63,0)</x:f>
        <x:v>60</x:v>
      </x:c>
      <x:c r="N13" s="9" t="n">
        <x:f>IF(OR(A13=1,A13=7),'参数'!$D$65/2,0)+IF(MOD(A13,7)=0,'参数'!$D$66,0)</x:f>
        <x:v>6</x:v>
      </x:c>
      <x:c r="O13" s="9" t="n">
        <x:f>N13+INT((P12+M13)/'参数'!$D$61)</x:f>
        <x:v>7</x:v>
      </x:c>
      <x:c r="P13" s="9" t="n">
        <x:f>P12+M13-(O13-N13)*'参数'!$D$61</x:f>
        <x:v>0</x:v>
      </x:c>
      <x:c r="Q13" s="9" t="n">
        <x:f>IF(OR(A13=1,A13=31,A13=61),'参数'!$D$70*'参数'!$D$60,0)</x:f>
        <x:v>0</x:v>
      </x:c>
      <x:c r="R13" s="9" t="n">
        <x:f>R12+Q13</x:f>
        <x:v>0</x:v>
      </x:c>
      <x:c r="S13" s="9" t="n">
        <x:f>S12+O13</x:f>
        <x:v>14</x:v>
      </x:c>
      <x:c r="T13" s="9" t="n">
        <x:f>O13*2+IF(MOD(A13,7)=0,'参数'!$D$68,0)+IF(A13=7,'参数'!$D$69,0)</x:f>
        <x:v>29</x:v>
      </x:c>
      <x:c r="U13" s="9" t="n">
        <x:f>IF(A13=90,160,0)</x:f>
        <x:v>0</x:v>
      </x:c>
      <x:c r="V13" s="9" t="n">
        <x:f>IF(W12+T13&gt;=U13,U13,0)</x:f>
        <x:v>0</x:v>
      </x:c>
      <x:c r="W13" s="9" t="n">
        <x:f>W12+T13-V13</x:f>
        <x:v>43</x:v>
      </x:c>
    </x:row>
    <x:row r="14" ht="48" customHeight="1">
      <x:c r="A14" s="10" t="n">
        <x:v>8</x:v>
      </x:c>
      <x:c r="B14" s="10" t="n">
        <x:f>L13</x:f>
        <x:v>2205</x:v>
      </x:c>
      <x:c r="C14" s="10" t="n">
        <x:f>'参数'!$D$7*'参数'!$D$11*'参数'!$D$15</x:f>
        <x:v>720</x:v>
      </x:c>
      <x:c r="D14" s="10" t="n">
        <x:f>'参数'!$D$7*'参数'!$D$19</x:f>
        <x:v>240</x:v>
      </x:c>
      <x:c r="E14" s="10" t="n">
        <x:f>'参数'!$D$23*'参数'!$D$53+IF(MOD(A14,7)=0,'参数'!$D$54,0)</x:f>
        <x:v>40</x:v>
      </x:c>
      <x:c r="F14" s="10" t="n">
        <x:f>(INT(A14*'参数'!$D$35/7)-INT((A14-1)*'参数'!$D$35/7))*IF(A14&lt;=30,'参数'!$D$56,IF(A14&lt;=60,'参数'!$D$57,'参数'!$D$58))+IF(A14=1,60,0)</x:f>
        <x:v>0</x:v>
      </x:c>
      <x:c r="G14" s="10" t="n">
        <x:f>(INT(A14*'参数'!$D$27)-INT((A14-1)*'参数'!$D$27))*'参数'!$D$55</x:f>
        <x:v>35</x:v>
      </x:c>
      <x:c r="H14" s="10" t="n">
        <x:f>'参数'!$D$31</x:f>
        <x:v>10</x:v>
      </x:c>
      <x:c r="I14" s="10" t="n">
        <x:f>(INT(A14*'参数'!$D$39/7)-INT((A14-1)*'参数'!$D$39/7))*'参数'!$D$59</x:f>
        <x:v>0</x:v>
      </x:c>
      <x:c r="J14" s="10" t="n">
        <x:f>IF(A14=30,4000,IF(A14=60,6000,IF(A14=90,9000,IF(MOD(A14,7)=0,'参数'!$D$43,0))))</x:f>
        <x:v>0</x:v>
      </x:c>
      <x:c r="K14" s="10" t="n">
        <x:f>IF(B14+C14-D14+E14-F14-G14-H14-I14-'参数'!$D$52&gt;=J14,J14,0)</x:f>
        <x:v>0</x:v>
      </x:c>
      <x:c r="L14" s="10" t="n">
        <x:f>B14+C14-D14+E14-F14-G14-H14-I14-K14</x:f>
        <x:v>2680</x:v>
      </x:c>
      <x:c r="M14" s="10" t="n">
        <x:f>IF(A14=1,'参数'!$D$64,0)+IF(MOD(A14,7)=0,'参数'!$D$62,0)+IF(MOD(A14,30)=0,'参数'!$D$63,0)</x:f>
        <x:v>0</x:v>
      </x:c>
      <x:c r="N14" s="10" t="n">
        <x:f>IF(OR(A14=1,A14=7),'参数'!$D$65/2,0)+IF(MOD(A14,7)=0,'参数'!$D$66,0)</x:f>
        <x:v>0</x:v>
      </x:c>
      <x:c r="O14" s="10" t="n">
        <x:f>N14+INT((P13+M14)/'参数'!$D$61)</x:f>
        <x:v>0</x:v>
      </x:c>
      <x:c r="P14" s="10" t="n">
        <x:f>P13+M14-(O14-N14)*'参数'!$D$61</x:f>
        <x:v>0</x:v>
      </x:c>
      <x:c r="Q14" s="10" t="n">
        <x:f>IF(OR(A14=1,A14=31,A14=61),'参数'!$D$70*'参数'!$D$60,0)</x:f>
        <x:v>0</x:v>
      </x:c>
      <x:c r="R14" s="10" t="n">
        <x:f>R13+Q14</x:f>
        <x:v>0</x:v>
      </x:c>
      <x:c r="S14" s="10" t="n">
        <x:f>S13+O14</x:f>
        <x:v>14</x:v>
      </x:c>
      <x:c r="T14" s="10" t="n">
        <x:f>O14*2+IF(MOD(A14,7)=0,'参数'!$D$68,0)+IF(A14=7,'参数'!$D$69,0)</x:f>
        <x:v>0</x:v>
      </x:c>
      <x:c r="U14" s="10" t="n">
        <x:f>IF(A14=90,160,0)</x:f>
        <x:v>0</x:v>
      </x:c>
      <x:c r="V14" s="10" t="n">
        <x:f>IF(W13+T14&gt;=U14,U14,0)</x:f>
        <x:v>0</x:v>
      </x:c>
      <x:c r="W14" s="10" t="n">
        <x:f>W13+T14-V14</x:f>
        <x:v>43</x:v>
      </x:c>
    </x:row>
    <x:row r="15" ht="48" customHeight="1">
      <x:c r="A15" s="9" t="n">
        <x:v>9</x:v>
      </x:c>
      <x:c r="B15" s="9" t="n">
        <x:f>L14</x:f>
        <x:v>2680</x:v>
      </x:c>
      <x:c r="C15" s="9" t="n">
        <x:f>'参数'!$D$7*'参数'!$D$11*'参数'!$D$15</x:f>
        <x:v>720</x:v>
      </x:c>
      <x:c r="D15" s="9" t="n">
        <x:f>'参数'!$D$7*'参数'!$D$19</x:f>
        <x:v>240</x:v>
      </x:c>
      <x:c r="E15" s="9" t="n">
        <x:f>'参数'!$D$23*'参数'!$D$53+IF(MOD(A15,7)=0,'参数'!$D$54,0)</x:f>
        <x:v>40</x:v>
      </x:c>
      <x:c r="F15" s="9" t="n">
        <x:f>(INT(A15*'参数'!$D$35/7)-INT((A15-1)*'参数'!$D$35/7))*IF(A15&lt;=30,'参数'!$D$56,IF(A15&lt;=60,'参数'!$D$57,'参数'!$D$58))+IF(A15=1,60,0)</x:f>
        <x:v>0</x:v>
      </x:c>
      <x:c r="G15" s="9" t="n">
        <x:f>(INT(A15*'参数'!$D$27)-INT((A15-1)*'参数'!$D$27))*'参数'!$D$55</x:f>
        <x:v>35</x:v>
      </x:c>
      <x:c r="H15" s="9" t="n">
        <x:f>'参数'!$D$31</x:f>
        <x:v>10</x:v>
      </x:c>
      <x:c r="I15" s="9" t="n">
        <x:f>(INT(A15*'参数'!$D$39/7)-INT((A15-1)*'参数'!$D$39/7))*'参数'!$D$59</x:f>
        <x:v>0</x:v>
      </x:c>
      <x:c r="J15" s="9" t="n">
        <x:f>IF(A15=30,4000,IF(A15=60,6000,IF(A15=90,9000,IF(MOD(A15,7)=0,'参数'!$D$43,0))))</x:f>
        <x:v>0</x:v>
      </x:c>
      <x:c r="K15" s="9" t="n">
        <x:f>IF(B15+C15-D15+E15-F15-G15-H15-I15-'参数'!$D$52&gt;=J15,J15,0)</x:f>
        <x:v>0</x:v>
      </x:c>
      <x:c r="L15" s="9" t="n">
        <x:f>B15+C15-D15+E15-F15-G15-H15-I15-K15</x:f>
        <x:v>3155</x:v>
      </x:c>
      <x:c r="M15" s="9" t="n">
        <x:f>IF(A15=1,'参数'!$D$64,0)+IF(MOD(A15,7)=0,'参数'!$D$62,0)+IF(MOD(A15,30)=0,'参数'!$D$63,0)</x:f>
        <x:v>0</x:v>
      </x:c>
      <x:c r="N15" s="9" t="n">
        <x:f>IF(OR(A15=1,A15=7),'参数'!$D$65/2,0)+IF(MOD(A15,7)=0,'参数'!$D$66,0)</x:f>
        <x:v>0</x:v>
      </x:c>
      <x:c r="O15" s="9" t="n">
        <x:f>N15+INT((P14+M15)/'参数'!$D$61)</x:f>
        <x:v>0</x:v>
      </x:c>
      <x:c r="P15" s="9" t="n">
        <x:f>P14+M15-(O15-N15)*'参数'!$D$61</x:f>
        <x:v>0</x:v>
      </x:c>
      <x:c r="Q15" s="9" t="n">
        <x:f>IF(OR(A15=1,A15=31,A15=61),'参数'!$D$70*'参数'!$D$60,0)</x:f>
        <x:v>0</x:v>
      </x:c>
      <x:c r="R15" s="9" t="n">
        <x:f>R14+Q15</x:f>
        <x:v>0</x:v>
      </x:c>
      <x:c r="S15" s="9" t="n">
        <x:f>S14+O15</x:f>
        <x:v>14</x:v>
      </x:c>
      <x:c r="T15" s="9" t="n">
        <x:f>O15*2+IF(MOD(A15,7)=0,'参数'!$D$68,0)+IF(A15=7,'参数'!$D$69,0)</x:f>
        <x:v>0</x:v>
      </x:c>
      <x:c r="U15" s="9" t="n">
        <x:f>IF(A15=90,160,0)</x:f>
        <x:v>0</x:v>
      </x:c>
      <x:c r="V15" s="9" t="n">
        <x:f>IF(W14+T15&gt;=U15,U15,0)</x:f>
        <x:v>0</x:v>
      </x:c>
      <x:c r="W15" s="9" t="n">
        <x:f>W14+T15-V15</x:f>
        <x:v>43</x:v>
      </x:c>
    </x:row>
    <x:row r="16" ht="48" customHeight="1">
      <x:c r="A16" s="10" t="n">
        <x:v>10</x:v>
      </x:c>
      <x:c r="B16" s="10" t="n">
        <x:f>L15</x:f>
        <x:v>3155</x:v>
      </x:c>
      <x:c r="C16" s="10" t="n">
        <x:f>'参数'!$D$7*'参数'!$D$11*'参数'!$D$15</x:f>
        <x:v>720</x:v>
      </x:c>
      <x:c r="D16" s="10" t="n">
        <x:f>'参数'!$D$7*'参数'!$D$19</x:f>
        <x:v>240</x:v>
      </x:c>
      <x:c r="E16" s="10" t="n">
        <x:f>'参数'!$D$23*'参数'!$D$53+IF(MOD(A16,7)=0,'参数'!$D$54,0)</x:f>
        <x:v>40</x:v>
      </x:c>
      <x:c r="F16" s="10" t="n">
        <x:f>(INT(A16*'参数'!$D$35/7)-INT((A16-1)*'参数'!$D$35/7))*IF(A16&lt;=30,'参数'!$D$56,IF(A16&lt;=60,'参数'!$D$57,'参数'!$D$58))+IF(A16=1,60,0)</x:f>
        <x:v>200</x:v>
      </x:c>
      <x:c r="G16" s="10" t="n">
        <x:f>(INT(A16*'参数'!$D$27)-INT((A16-1)*'参数'!$D$27))*'参数'!$D$55</x:f>
        <x:v>35</x:v>
      </x:c>
      <x:c r="H16" s="10" t="n">
        <x:f>'参数'!$D$31</x:f>
        <x:v>10</x:v>
      </x:c>
      <x:c r="I16" s="10" t="n">
        <x:f>(INT(A16*'参数'!$D$39/7)-INT((A16-1)*'参数'!$D$39/7))*'参数'!$D$59</x:f>
        <x:v>0</x:v>
      </x:c>
      <x:c r="J16" s="10" t="n">
        <x:f>IF(A16=30,4000,IF(A16=60,6000,IF(A16=90,9000,IF(MOD(A16,7)=0,'参数'!$D$43,0))))</x:f>
        <x:v>0</x:v>
      </x:c>
      <x:c r="K16" s="10" t="n">
        <x:f>IF(B16+C16-D16+E16-F16-G16-H16-I16-'参数'!$D$52&gt;=J16,J16,0)</x:f>
        <x:v>0</x:v>
      </x:c>
      <x:c r="L16" s="10" t="n">
        <x:f>B16+C16-D16+E16-F16-G16-H16-I16-K16</x:f>
        <x:v>3430</x:v>
      </x:c>
      <x:c r="M16" s="10" t="n">
        <x:f>IF(A16=1,'参数'!$D$64,0)+IF(MOD(A16,7)=0,'参数'!$D$62,0)+IF(MOD(A16,30)=0,'参数'!$D$63,0)</x:f>
        <x:v>0</x:v>
      </x:c>
      <x:c r="N16" s="10" t="n">
        <x:f>IF(OR(A16=1,A16=7),'参数'!$D$65/2,0)+IF(MOD(A16,7)=0,'参数'!$D$66,0)</x:f>
        <x:v>0</x:v>
      </x:c>
      <x:c r="O16" s="10" t="n">
        <x:f>N16+INT((P15+M16)/'参数'!$D$61)</x:f>
        <x:v>0</x:v>
      </x:c>
      <x:c r="P16" s="10" t="n">
        <x:f>P15+M16-(O16-N16)*'参数'!$D$61</x:f>
        <x:v>0</x:v>
      </x:c>
      <x:c r="Q16" s="10" t="n">
        <x:f>IF(OR(A16=1,A16=31,A16=61),'参数'!$D$70*'参数'!$D$60,0)</x:f>
        <x:v>0</x:v>
      </x:c>
      <x:c r="R16" s="10" t="n">
        <x:f>R15+Q16</x:f>
        <x:v>0</x:v>
      </x:c>
      <x:c r="S16" s="10" t="n">
        <x:f>S15+O16</x:f>
        <x:v>14</x:v>
      </x:c>
      <x:c r="T16" s="10" t="n">
        <x:f>O16*2+IF(MOD(A16,7)=0,'参数'!$D$68,0)+IF(A16=7,'参数'!$D$69,0)</x:f>
        <x:v>0</x:v>
      </x:c>
      <x:c r="U16" s="10" t="n">
        <x:f>IF(A16=90,160,0)</x:f>
        <x:v>0</x:v>
      </x:c>
      <x:c r="V16" s="10" t="n">
        <x:f>IF(W15+T16&gt;=U16,U16,0)</x:f>
        <x:v>0</x:v>
      </x:c>
      <x:c r="W16" s="10" t="n">
        <x:f>W15+T16-V16</x:f>
        <x:v>43</x:v>
      </x:c>
    </x:row>
    <x:row r="17" ht="48" customHeight="1">
      <x:c r="A17" s="9" t="n">
        <x:v>11</x:v>
      </x:c>
      <x:c r="B17" s="9" t="n">
        <x:f>L16</x:f>
        <x:v>3430</x:v>
      </x:c>
      <x:c r="C17" s="9" t="n">
        <x:f>'参数'!$D$7*'参数'!$D$11*'参数'!$D$15</x:f>
        <x:v>720</x:v>
      </x:c>
      <x:c r="D17" s="9" t="n">
        <x:f>'参数'!$D$7*'参数'!$D$19</x:f>
        <x:v>240</x:v>
      </x:c>
      <x:c r="E17" s="9" t="n">
        <x:f>'参数'!$D$23*'参数'!$D$53+IF(MOD(A17,7)=0,'参数'!$D$54,0)</x:f>
        <x:v>40</x:v>
      </x:c>
      <x:c r="F17" s="9" t="n">
        <x:f>(INT(A17*'参数'!$D$35/7)-INT((A17-1)*'参数'!$D$35/7))*IF(A17&lt;=30,'参数'!$D$56,IF(A17&lt;=60,'参数'!$D$57,'参数'!$D$58))+IF(A17=1,60,0)</x:f>
        <x:v>0</x:v>
      </x:c>
      <x:c r="G17" s="9" t="n">
        <x:f>(INT(A17*'参数'!$D$27)-INT((A17-1)*'参数'!$D$27))*'参数'!$D$55</x:f>
        <x:v>35</x:v>
      </x:c>
      <x:c r="H17" s="9" t="n">
        <x:f>'参数'!$D$31</x:f>
        <x:v>10</x:v>
      </x:c>
      <x:c r="I17" s="9" t="n">
        <x:f>(INT(A17*'参数'!$D$39/7)-INT((A17-1)*'参数'!$D$39/7))*'参数'!$D$59</x:f>
        <x:v>0</x:v>
      </x:c>
      <x:c r="J17" s="9" t="n">
        <x:f>IF(A17=30,4000,IF(A17=60,6000,IF(A17=90,9000,IF(MOD(A17,7)=0,'参数'!$D$43,0))))</x:f>
        <x:v>0</x:v>
      </x:c>
      <x:c r="K17" s="9" t="n">
        <x:f>IF(B17+C17-D17+E17-F17-G17-H17-I17-'参数'!$D$52&gt;=J17,J17,0)</x:f>
        <x:v>0</x:v>
      </x:c>
      <x:c r="L17" s="9" t="n">
        <x:f>B17+C17-D17+E17-F17-G17-H17-I17-K17</x:f>
        <x:v>3905</x:v>
      </x:c>
      <x:c r="M17" s="9" t="n">
        <x:f>IF(A17=1,'参数'!$D$64,0)+IF(MOD(A17,7)=0,'参数'!$D$62,0)+IF(MOD(A17,30)=0,'参数'!$D$63,0)</x:f>
        <x:v>0</x:v>
      </x:c>
      <x:c r="N17" s="9" t="n">
        <x:f>IF(OR(A17=1,A17=7),'参数'!$D$65/2,0)+IF(MOD(A17,7)=0,'参数'!$D$66,0)</x:f>
        <x:v>0</x:v>
      </x:c>
      <x:c r="O17" s="9" t="n">
        <x:f>N17+INT((P16+M17)/'参数'!$D$61)</x:f>
        <x:v>0</x:v>
      </x:c>
      <x:c r="P17" s="9" t="n">
        <x:f>P16+M17-(O17-N17)*'参数'!$D$61</x:f>
        <x:v>0</x:v>
      </x:c>
      <x:c r="Q17" s="9" t="n">
        <x:f>IF(OR(A17=1,A17=31,A17=61),'参数'!$D$70*'参数'!$D$60,0)</x:f>
        <x:v>0</x:v>
      </x:c>
      <x:c r="R17" s="9" t="n">
        <x:f>R16+Q17</x:f>
        <x:v>0</x:v>
      </x:c>
      <x:c r="S17" s="9" t="n">
        <x:f>S16+O17</x:f>
        <x:v>14</x:v>
      </x:c>
      <x:c r="T17" s="9" t="n">
        <x:f>O17*2+IF(MOD(A17,7)=0,'参数'!$D$68,0)+IF(A17=7,'参数'!$D$69,0)</x:f>
        <x:v>0</x:v>
      </x:c>
      <x:c r="U17" s="9" t="n">
        <x:f>IF(A17=90,160,0)</x:f>
        <x:v>0</x:v>
      </x:c>
      <x:c r="V17" s="9" t="n">
        <x:f>IF(W16+T17&gt;=U17,U17,0)</x:f>
        <x:v>0</x:v>
      </x:c>
      <x:c r="W17" s="9" t="n">
        <x:f>W16+T17-V17</x:f>
        <x:v>43</x:v>
      </x:c>
    </x:row>
    <x:row r="18" ht="48" customHeight="1">
      <x:c r="A18" s="10" t="n">
        <x:v>12</x:v>
      </x:c>
      <x:c r="B18" s="10" t="n">
        <x:f>L17</x:f>
        <x:v>3905</x:v>
      </x:c>
      <x:c r="C18" s="10" t="n">
        <x:f>'参数'!$D$7*'参数'!$D$11*'参数'!$D$15</x:f>
        <x:v>720</x:v>
      </x:c>
      <x:c r="D18" s="10" t="n">
        <x:f>'参数'!$D$7*'参数'!$D$19</x:f>
        <x:v>240</x:v>
      </x:c>
      <x:c r="E18" s="10" t="n">
        <x:f>'参数'!$D$23*'参数'!$D$53+IF(MOD(A18,7)=0,'参数'!$D$54,0)</x:f>
        <x:v>40</x:v>
      </x:c>
      <x:c r="F18" s="10" t="n">
        <x:f>(INT(A18*'参数'!$D$35/7)-INT((A18-1)*'参数'!$D$35/7))*IF(A18&lt;=30,'参数'!$D$56,IF(A18&lt;=60,'参数'!$D$57,'参数'!$D$58))+IF(A18=1,60,0)</x:f>
        <x:v>200</x:v>
      </x:c>
      <x:c r="G18" s="10" t="n">
        <x:f>(INT(A18*'参数'!$D$27)-INT((A18-1)*'参数'!$D$27))*'参数'!$D$55</x:f>
        <x:v>35</x:v>
      </x:c>
      <x:c r="H18" s="10" t="n">
        <x:f>'参数'!$D$31</x:f>
        <x:v>10</x:v>
      </x:c>
      <x:c r="I18" s="10" t="n">
        <x:f>(INT(A18*'参数'!$D$39/7)-INT((A18-1)*'参数'!$D$39/7))*'参数'!$D$59</x:f>
        <x:v>0</x:v>
      </x:c>
      <x:c r="J18" s="10" t="n">
        <x:f>IF(A18=30,4000,IF(A18=60,6000,IF(A18=90,9000,IF(MOD(A18,7)=0,'参数'!$D$43,0))))</x:f>
        <x:v>0</x:v>
      </x:c>
      <x:c r="K18" s="10" t="n">
        <x:f>IF(B18+C18-D18+E18-F18-G18-H18-I18-'参数'!$D$52&gt;=J18,J18,0)</x:f>
        <x:v>0</x:v>
      </x:c>
      <x:c r="L18" s="10" t="n">
        <x:f>B18+C18-D18+E18-F18-G18-H18-I18-K18</x:f>
        <x:v>4180</x:v>
      </x:c>
      <x:c r="M18" s="10" t="n">
        <x:f>IF(A18=1,'参数'!$D$64,0)+IF(MOD(A18,7)=0,'参数'!$D$62,0)+IF(MOD(A18,30)=0,'参数'!$D$63,0)</x:f>
        <x:v>0</x:v>
      </x:c>
      <x:c r="N18" s="10" t="n">
        <x:f>IF(OR(A18=1,A18=7),'参数'!$D$65/2,0)+IF(MOD(A18,7)=0,'参数'!$D$66,0)</x:f>
        <x:v>0</x:v>
      </x:c>
      <x:c r="O18" s="10" t="n">
        <x:f>N18+INT((P17+M18)/'参数'!$D$61)</x:f>
        <x:v>0</x:v>
      </x:c>
      <x:c r="P18" s="10" t="n">
        <x:f>P17+M18-(O18-N18)*'参数'!$D$61</x:f>
        <x:v>0</x:v>
      </x:c>
      <x:c r="Q18" s="10" t="n">
        <x:f>IF(OR(A18=1,A18=31,A18=61),'参数'!$D$70*'参数'!$D$60,0)</x:f>
        <x:v>0</x:v>
      </x:c>
      <x:c r="R18" s="10" t="n">
        <x:f>R17+Q18</x:f>
        <x:v>0</x:v>
      </x:c>
      <x:c r="S18" s="10" t="n">
        <x:f>S17+O18</x:f>
        <x:v>14</x:v>
      </x:c>
      <x:c r="T18" s="10" t="n">
        <x:f>O18*2+IF(MOD(A18,7)=0,'参数'!$D$68,0)+IF(A18=7,'参数'!$D$69,0)</x:f>
        <x:v>0</x:v>
      </x:c>
      <x:c r="U18" s="10" t="n">
        <x:f>IF(A18=90,160,0)</x:f>
        <x:v>0</x:v>
      </x:c>
      <x:c r="V18" s="10" t="n">
        <x:f>IF(W17+T18&gt;=U18,U18,0)</x:f>
        <x:v>0</x:v>
      </x:c>
      <x:c r="W18" s="10" t="n">
        <x:f>W17+T18-V18</x:f>
        <x:v>43</x:v>
      </x:c>
    </x:row>
    <x:row r="19" ht="48" customHeight="1">
      <x:c r="A19" s="9" t="n">
        <x:v>13</x:v>
      </x:c>
      <x:c r="B19" s="9" t="n">
        <x:f>L18</x:f>
        <x:v>4180</x:v>
      </x:c>
      <x:c r="C19" s="9" t="n">
        <x:f>'参数'!$D$7*'参数'!$D$11*'参数'!$D$15</x:f>
        <x:v>720</x:v>
      </x:c>
      <x:c r="D19" s="9" t="n">
        <x:f>'参数'!$D$7*'参数'!$D$19</x:f>
        <x:v>240</x:v>
      </x:c>
      <x:c r="E19" s="9" t="n">
        <x:f>'参数'!$D$23*'参数'!$D$53+IF(MOD(A19,7)=0,'参数'!$D$54,0)</x:f>
        <x:v>40</x:v>
      </x:c>
      <x:c r="F19" s="9" t="n">
        <x:f>(INT(A19*'参数'!$D$35/7)-INT((A19-1)*'参数'!$D$35/7))*IF(A19&lt;=30,'参数'!$D$56,IF(A19&lt;=60,'参数'!$D$57,'参数'!$D$58))+IF(A19=1,60,0)</x:f>
        <x:v>0</x:v>
      </x:c>
      <x:c r="G19" s="9" t="n">
        <x:f>(INT(A19*'参数'!$D$27)-INT((A19-1)*'参数'!$D$27))*'参数'!$D$55</x:f>
        <x:v>35</x:v>
      </x:c>
      <x:c r="H19" s="9" t="n">
        <x:f>'参数'!$D$31</x:f>
        <x:v>10</x:v>
      </x:c>
      <x:c r="I19" s="9" t="n">
        <x:f>(INT(A19*'参数'!$D$39/7)-INT((A19-1)*'参数'!$D$39/7))*'参数'!$D$59</x:f>
        <x:v>0</x:v>
      </x:c>
      <x:c r="J19" s="9" t="n">
        <x:f>IF(A19=30,4000,IF(A19=60,6000,IF(A19=90,9000,IF(MOD(A19,7)=0,'参数'!$D$43,0))))</x:f>
        <x:v>0</x:v>
      </x:c>
      <x:c r="K19" s="9" t="n">
        <x:f>IF(B19+C19-D19+E19-F19-G19-H19-I19-'参数'!$D$52&gt;=J19,J19,0)</x:f>
        <x:v>0</x:v>
      </x:c>
      <x:c r="L19" s="9" t="n">
        <x:f>B19+C19-D19+E19-F19-G19-H19-I19-K19</x:f>
        <x:v>4655</x:v>
      </x:c>
      <x:c r="M19" s="9" t="n">
        <x:f>IF(A19=1,'参数'!$D$64,0)+IF(MOD(A19,7)=0,'参数'!$D$62,0)+IF(MOD(A19,30)=0,'参数'!$D$63,0)</x:f>
        <x:v>0</x:v>
      </x:c>
      <x:c r="N19" s="9" t="n">
        <x:f>IF(OR(A19=1,A19=7),'参数'!$D$65/2,0)+IF(MOD(A19,7)=0,'参数'!$D$66,0)</x:f>
        <x:v>0</x:v>
      </x:c>
      <x:c r="O19" s="9" t="n">
        <x:f>N19+INT((P18+M19)/'参数'!$D$61)</x:f>
        <x:v>0</x:v>
      </x:c>
      <x:c r="P19" s="9" t="n">
        <x:f>P18+M19-(O19-N19)*'参数'!$D$61</x:f>
        <x:v>0</x:v>
      </x:c>
      <x:c r="Q19" s="9" t="n">
        <x:f>IF(OR(A19=1,A19=31,A19=61),'参数'!$D$70*'参数'!$D$60,0)</x:f>
        <x:v>0</x:v>
      </x:c>
      <x:c r="R19" s="9" t="n">
        <x:f>R18+Q19</x:f>
        <x:v>0</x:v>
      </x:c>
      <x:c r="S19" s="9" t="n">
        <x:f>S18+O19</x:f>
        <x:v>14</x:v>
      </x:c>
      <x:c r="T19" s="9" t="n">
        <x:f>O19*2+IF(MOD(A19,7)=0,'参数'!$D$68,0)+IF(A19=7,'参数'!$D$69,0)</x:f>
        <x:v>0</x:v>
      </x:c>
      <x:c r="U19" s="9" t="n">
        <x:f>IF(A19=90,160,0)</x:f>
        <x:v>0</x:v>
      </x:c>
      <x:c r="V19" s="9" t="n">
        <x:f>IF(W18+T19&gt;=U19,U19,0)</x:f>
        <x:v>0</x:v>
      </x:c>
      <x:c r="W19" s="9" t="n">
        <x:f>W18+T19-V19</x:f>
        <x:v>43</x:v>
      </x:c>
    </x:row>
    <x:row r="20" ht="48" customHeight="1">
      <x:c r="A20" s="10" t="n">
        <x:v>14</x:v>
      </x:c>
      <x:c r="B20" s="10" t="n">
        <x:f>L19</x:f>
        <x:v>4655</x:v>
      </x:c>
      <x:c r="C20" s="10" t="n">
        <x:f>'参数'!$D$7*'参数'!$D$11*'参数'!$D$15</x:f>
        <x:v>720</x:v>
      </x:c>
      <x:c r="D20" s="10" t="n">
        <x:f>'参数'!$D$7*'参数'!$D$19</x:f>
        <x:v>240</x:v>
      </x:c>
      <x:c r="E20" s="10" t="n">
        <x:f>'参数'!$D$23*'参数'!$D$53+IF(MOD(A20,7)=0,'参数'!$D$54,0)</x:f>
        <x:v>180</x:v>
      </x:c>
      <x:c r="F20" s="10" t="n">
        <x:f>(INT(A20*'参数'!$D$35/7)-INT((A20-1)*'参数'!$D$35/7))*IF(A20&lt;=30,'参数'!$D$56,IF(A20&lt;=60,'参数'!$D$57,'参数'!$D$58))+IF(A20=1,60,0)</x:f>
        <x:v>200</x:v>
      </x:c>
      <x:c r="G20" s="10" t="n">
        <x:f>(INT(A20*'参数'!$D$27)-INT((A20-1)*'参数'!$D$27))*'参数'!$D$55</x:f>
        <x:v>35</x:v>
      </x:c>
      <x:c r="H20" s="10" t="n">
        <x:f>'参数'!$D$31</x:f>
        <x:v>10</x:v>
      </x:c>
      <x:c r="I20" s="10" t="n">
        <x:f>(INT(A20*'参数'!$D$39/7)-INT((A20-1)*'参数'!$D$39/7))*'参数'!$D$59</x:f>
        <x:v>300</x:v>
      </x:c>
      <x:c r="J20" s="10" t="n">
        <x:f>IF(A20=30,4000,IF(A20=60,6000,IF(A20=90,9000,IF(MOD(A20,7)=0,'参数'!$D$43,0))))</x:f>
        <x:v>900</x:v>
      </x:c>
      <x:c r="K20" s="10" t="n">
        <x:f>IF(B20+C20-D20+E20-F20-G20-H20-I20-'参数'!$D$52&gt;=J20,J20,0)</x:f>
        <x:v>900</x:v>
      </x:c>
      <x:c r="L20" s="10" t="n">
        <x:f>B20+C20-D20+E20-F20-G20-H20-I20-K20</x:f>
        <x:v>3870</x:v>
      </x:c>
      <x:c r="M20" s="10" t="n">
        <x:f>IF(A20=1,'参数'!$D$64,0)+IF(MOD(A20,7)=0,'参数'!$D$62,0)+IF(MOD(A20,30)=0,'参数'!$D$63,0)</x:f>
        <x:v>60</x:v>
      </x:c>
      <x:c r="N20" s="10" t="n">
        <x:f>IF(OR(A20=1,A20=7),'参数'!$D$65/2,0)+IF(MOD(A20,7)=0,'参数'!$D$66,0)</x:f>
        <x:v>1</x:v>
      </x:c>
      <x:c r="O20" s="10" t="n">
        <x:f>N20+INT((P19+M20)/'参数'!$D$61)</x:f>
        <x:v>2</x:v>
      </x:c>
      <x:c r="P20" s="10" t="n">
        <x:f>P19+M20-(O20-N20)*'参数'!$D$61</x:f>
        <x:v>0</x:v>
      </x:c>
      <x:c r="Q20" s="10" t="n">
        <x:f>IF(OR(A20=1,A20=31,A20=61),'参数'!$D$70*'参数'!$D$60,0)</x:f>
        <x:v>0</x:v>
      </x:c>
      <x:c r="R20" s="10" t="n">
        <x:f>R19+Q20</x:f>
        <x:v>0</x:v>
      </x:c>
      <x:c r="S20" s="10" t="n">
        <x:f>S19+O20</x:f>
        <x:v>16</x:v>
      </x:c>
      <x:c r="T20" s="10" t="n">
        <x:f>O20*2+IF(MOD(A20,7)=0,'参数'!$D$68,0)+IF(A20=7,'参数'!$D$69,0)</x:f>
        <x:v>9</x:v>
      </x:c>
      <x:c r="U20" s="10" t="n">
        <x:f>IF(A20=90,160,0)</x:f>
        <x:v>0</x:v>
      </x:c>
      <x:c r="V20" s="10" t="n">
        <x:f>IF(W19+T20&gt;=U20,U20,0)</x:f>
        <x:v>0</x:v>
      </x:c>
      <x:c r="W20" s="10" t="n">
        <x:f>W19+T20-V20</x:f>
        <x:v>52</x:v>
      </x:c>
    </x:row>
    <x:row r="21" ht="48" customHeight="1">
      <x:c r="A21" s="9" t="n">
        <x:v>15</x:v>
      </x:c>
      <x:c r="B21" s="9" t="n">
        <x:f>L20</x:f>
        <x:v>3870</x:v>
      </x:c>
      <x:c r="C21" s="9" t="n">
        <x:f>'参数'!$D$7*'参数'!$D$11*'参数'!$D$15</x:f>
        <x:v>720</x:v>
      </x:c>
      <x:c r="D21" s="9" t="n">
        <x:f>'参数'!$D$7*'参数'!$D$19</x:f>
        <x:v>240</x:v>
      </x:c>
      <x:c r="E21" s="9" t="n">
        <x:f>'参数'!$D$23*'参数'!$D$53+IF(MOD(A21,7)=0,'参数'!$D$54,0)</x:f>
        <x:v>40</x:v>
      </x:c>
      <x:c r="F21" s="9" t="n">
        <x:f>(INT(A21*'参数'!$D$35/7)-INT((A21-1)*'参数'!$D$35/7))*IF(A21&lt;=30,'参数'!$D$56,IF(A21&lt;=60,'参数'!$D$57,'参数'!$D$58))+IF(A21=1,60,0)</x:f>
        <x:v>0</x:v>
      </x:c>
      <x:c r="G21" s="9" t="n">
        <x:f>(INT(A21*'参数'!$D$27)-INT((A21-1)*'参数'!$D$27))*'参数'!$D$55</x:f>
        <x:v>35</x:v>
      </x:c>
      <x:c r="H21" s="9" t="n">
        <x:f>'参数'!$D$31</x:f>
        <x:v>10</x:v>
      </x:c>
      <x:c r="I21" s="9" t="n">
        <x:f>(INT(A21*'参数'!$D$39/7)-INT((A21-1)*'参数'!$D$39/7))*'参数'!$D$59</x:f>
        <x:v>0</x:v>
      </x:c>
      <x:c r="J21" s="9" t="n">
        <x:f>IF(A21=30,4000,IF(A21=60,6000,IF(A21=90,9000,IF(MOD(A21,7)=0,'参数'!$D$43,0))))</x:f>
        <x:v>0</x:v>
      </x:c>
      <x:c r="K21" s="9" t="n">
        <x:f>IF(B21+C21-D21+E21-F21-G21-H21-I21-'参数'!$D$52&gt;=J21,J21,0)</x:f>
        <x:v>0</x:v>
      </x:c>
      <x:c r="L21" s="9" t="n">
        <x:f>B21+C21-D21+E21-F21-G21-H21-I21-K21</x:f>
        <x:v>4345</x:v>
      </x:c>
      <x:c r="M21" s="9" t="n">
        <x:f>IF(A21=1,'参数'!$D$64,0)+IF(MOD(A21,7)=0,'参数'!$D$62,0)+IF(MOD(A21,30)=0,'参数'!$D$63,0)</x:f>
        <x:v>0</x:v>
      </x:c>
      <x:c r="N21" s="9" t="n">
        <x:f>IF(OR(A21=1,A21=7),'参数'!$D$65/2,0)+IF(MOD(A21,7)=0,'参数'!$D$66,0)</x:f>
        <x:v>0</x:v>
      </x:c>
      <x:c r="O21" s="9" t="n">
        <x:f>N21+INT((P20+M21)/'参数'!$D$61)</x:f>
        <x:v>0</x:v>
      </x:c>
      <x:c r="P21" s="9" t="n">
        <x:f>P20+M21-(O21-N21)*'参数'!$D$61</x:f>
        <x:v>0</x:v>
      </x:c>
      <x:c r="Q21" s="9" t="n">
        <x:f>IF(OR(A21=1,A21=31,A21=61),'参数'!$D$70*'参数'!$D$60,0)</x:f>
        <x:v>0</x:v>
      </x:c>
      <x:c r="R21" s="9" t="n">
        <x:f>R20+Q21</x:f>
        <x:v>0</x:v>
      </x:c>
      <x:c r="S21" s="9" t="n">
        <x:f>S20+O21</x:f>
        <x:v>16</x:v>
      </x:c>
      <x:c r="T21" s="9" t="n">
        <x:f>O21*2+IF(MOD(A21,7)=0,'参数'!$D$68,0)+IF(A21=7,'参数'!$D$69,0)</x:f>
        <x:v>0</x:v>
      </x:c>
      <x:c r="U21" s="9" t="n">
        <x:f>IF(A21=90,160,0)</x:f>
        <x:v>0</x:v>
      </x:c>
      <x:c r="V21" s="9" t="n">
        <x:f>IF(W20+T21&gt;=U21,U21,0)</x:f>
        <x:v>0</x:v>
      </x:c>
      <x:c r="W21" s="9" t="n">
        <x:f>W20+T21-V21</x:f>
        <x:v>52</x:v>
      </x:c>
    </x:row>
    <x:row r="22" ht="48" customHeight="1">
      <x:c r="A22" s="10" t="n">
        <x:v>16</x:v>
      </x:c>
      <x:c r="B22" s="10" t="n">
        <x:f>L21</x:f>
        <x:v>4345</x:v>
      </x:c>
      <x:c r="C22" s="10" t="n">
        <x:f>'参数'!$D$7*'参数'!$D$11*'参数'!$D$15</x:f>
        <x:v>720</x:v>
      </x:c>
      <x:c r="D22" s="10" t="n">
        <x:f>'参数'!$D$7*'参数'!$D$19</x:f>
        <x:v>240</x:v>
      </x:c>
      <x:c r="E22" s="10" t="n">
        <x:f>'参数'!$D$23*'参数'!$D$53+IF(MOD(A22,7)=0,'参数'!$D$54,0)</x:f>
        <x:v>40</x:v>
      </x:c>
      <x:c r="F22" s="10" t="n">
        <x:f>(INT(A22*'参数'!$D$35/7)-INT((A22-1)*'参数'!$D$35/7))*IF(A22&lt;=30,'参数'!$D$56,IF(A22&lt;=60,'参数'!$D$57,'参数'!$D$58))+IF(A22=1,60,0)</x:f>
        <x:v>0</x:v>
      </x:c>
      <x:c r="G22" s="10" t="n">
        <x:f>(INT(A22*'参数'!$D$27)-INT((A22-1)*'参数'!$D$27))*'参数'!$D$55</x:f>
        <x:v>35</x:v>
      </x:c>
      <x:c r="H22" s="10" t="n">
        <x:f>'参数'!$D$31</x:f>
        <x:v>10</x:v>
      </x:c>
      <x:c r="I22" s="10" t="n">
        <x:f>(INT(A22*'参数'!$D$39/7)-INT((A22-1)*'参数'!$D$39/7))*'参数'!$D$59</x:f>
        <x:v>0</x:v>
      </x:c>
      <x:c r="J22" s="10" t="n">
        <x:f>IF(A22=30,4000,IF(A22=60,6000,IF(A22=90,9000,IF(MOD(A22,7)=0,'参数'!$D$43,0))))</x:f>
        <x:v>0</x:v>
      </x:c>
      <x:c r="K22" s="10" t="n">
        <x:f>IF(B22+C22-D22+E22-F22-G22-H22-I22-'参数'!$D$52&gt;=J22,J22,0)</x:f>
        <x:v>0</x:v>
      </x:c>
      <x:c r="L22" s="10" t="n">
        <x:f>B22+C22-D22+E22-F22-G22-H22-I22-K22</x:f>
        <x:v>4820</x:v>
      </x:c>
      <x:c r="M22" s="10" t="n">
        <x:f>IF(A22=1,'参数'!$D$64,0)+IF(MOD(A22,7)=0,'参数'!$D$62,0)+IF(MOD(A22,30)=0,'参数'!$D$63,0)</x:f>
        <x:v>0</x:v>
      </x:c>
      <x:c r="N22" s="10" t="n">
        <x:f>IF(OR(A22=1,A22=7),'参数'!$D$65/2,0)+IF(MOD(A22,7)=0,'参数'!$D$66,0)</x:f>
        <x:v>0</x:v>
      </x:c>
      <x:c r="O22" s="10" t="n">
        <x:f>N22+INT((P21+M22)/'参数'!$D$61)</x:f>
        <x:v>0</x:v>
      </x:c>
      <x:c r="P22" s="10" t="n">
        <x:f>P21+M22-(O22-N22)*'参数'!$D$61</x:f>
        <x:v>0</x:v>
      </x:c>
      <x:c r="Q22" s="10" t="n">
        <x:f>IF(OR(A22=1,A22=31,A22=61),'参数'!$D$70*'参数'!$D$60,0)</x:f>
        <x:v>0</x:v>
      </x:c>
      <x:c r="R22" s="10" t="n">
        <x:f>R21+Q22</x:f>
        <x:v>0</x:v>
      </x:c>
      <x:c r="S22" s="10" t="n">
        <x:f>S21+O22</x:f>
        <x:v>16</x:v>
      </x:c>
      <x:c r="T22" s="10" t="n">
        <x:f>O22*2+IF(MOD(A22,7)=0,'参数'!$D$68,0)+IF(A22=7,'参数'!$D$69,0)</x:f>
        <x:v>0</x:v>
      </x:c>
      <x:c r="U22" s="10" t="n">
        <x:f>IF(A22=90,160,0)</x:f>
        <x:v>0</x:v>
      </x:c>
      <x:c r="V22" s="10" t="n">
        <x:f>IF(W21+T22&gt;=U22,U22,0)</x:f>
        <x:v>0</x:v>
      </x:c>
      <x:c r="W22" s="10" t="n">
        <x:f>W21+T22-V22</x:f>
        <x:v>52</x:v>
      </x:c>
    </x:row>
    <x:row r="23" ht="48" customHeight="1">
      <x:c r="A23" s="9" t="n">
        <x:v>17</x:v>
      </x:c>
      <x:c r="B23" s="9" t="n">
        <x:f>L22</x:f>
        <x:v>4820</x:v>
      </x:c>
      <x:c r="C23" s="9" t="n">
        <x:f>'参数'!$D$7*'参数'!$D$11*'参数'!$D$15</x:f>
        <x:v>720</x:v>
      </x:c>
      <x:c r="D23" s="9" t="n">
        <x:f>'参数'!$D$7*'参数'!$D$19</x:f>
        <x:v>240</x:v>
      </x:c>
      <x:c r="E23" s="9" t="n">
        <x:f>'参数'!$D$23*'参数'!$D$53+IF(MOD(A23,7)=0,'参数'!$D$54,0)</x:f>
        <x:v>40</x:v>
      </x:c>
      <x:c r="F23" s="9" t="n">
        <x:f>(INT(A23*'参数'!$D$35/7)-INT((A23-1)*'参数'!$D$35/7))*IF(A23&lt;=30,'参数'!$D$56,IF(A23&lt;=60,'参数'!$D$57,'参数'!$D$58))+IF(A23=1,60,0)</x:f>
        <x:v>200</x:v>
      </x:c>
      <x:c r="G23" s="9" t="n">
        <x:f>(INT(A23*'参数'!$D$27)-INT((A23-1)*'参数'!$D$27))*'参数'!$D$55</x:f>
        <x:v>35</x:v>
      </x:c>
      <x:c r="H23" s="9" t="n">
        <x:f>'参数'!$D$31</x:f>
        <x:v>10</x:v>
      </x:c>
      <x:c r="I23" s="9" t="n">
        <x:f>(INT(A23*'参数'!$D$39/7)-INT((A23-1)*'参数'!$D$39/7))*'参数'!$D$59</x:f>
        <x:v>0</x:v>
      </x:c>
      <x:c r="J23" s="9" t="n">
        <x:f>IF(A23=30,4000,IF(A23=60,6000,IF(A23=90,9000,IF(MOD(A23,7)=0,'参数'!$D$43,0))))</x:f>
        <x:v>0</x:v>
      </x:c>
      <x:c r="K23" s="9" t="n">
        <x:f>IF(B23+C23-D23+E23-F23-G23-H23-I23-'参数'!$D$52&gt;=J23,J23,0)</x:f>
        <x:v>0</x:v>
      </x:c>
      <x:c r="L23" s="9" t="n">
        <x:f>B23+C23-D23+E23-F23-G23-H23-I23-K23</x:f>
        <x:v>5095</x:v>
      </x:c>
      <x:c r="M23" s="9" t="n">
        <x:f>IF(A23=1,'参数'!$D$64,0)+IF(MOD(A23,7)=0,'参数'!$D$62,0)+IF(MOD(A23,30)=0,'参数'!$D$63,0)</x:f>
        <x:v>0</x:v>
      </x:c>
      <x:c r="N23" s="9" t="n">
        <x:f>IF(OR(A23=1,A23=7),'参数'!$D$65/2,0)+IF(MOD(A23,7)=0,'参数'!$D$66,0)</x:f>
        <x:v>0</x:v>
      </x:c>
      <x:c r="O23" s="9" t="n">
        <x:f>N23+INT((P22+M23)/'参数'!$D$61)</x:f>
        <x:v>0</x:v>
      </x:c>
      <x:c r="P23" s="9" t="n">
        <x:f>P22+M23-(O23-N23)*'参数'!$D$61</x:f>
        <x:v>0</x:v>
      </x:c>
      <x:c r="Q23" s="9" t="n">
        <x:f>IF(OR(A23=1,A23=31,A23=61),'参数'!$D$70*'参数'!$D$60,0)</x:f>
        <x:v>0</x:v>
      </x:c>
      <x:c r="R23" s="9" t="n">
        <x:f>R22+Q23</x:f>
        <x:v>0</x:v>
      </x:c>
      <x:c r="S23" s="9" t="n">
        <x:f>S22+O23</x:f>
        <x:v>16</x:v>
      </x:c>
      <x:c r="T23" s="9" t="n">
        <x:f>O23*2+IF(MOD(A23,7)=0,'参数'!$D$68,0)+IF(A23=7,'参数'!$D$69,0)</x:f>
        <x:v>0</x:v>
      </x:c>
      <x:c r="U23" s="9" t="n">
        <x:f>IF(A23=90,160,0)</x:f>
        <x:v>0</x:v>
      </x:c>
      <x:c r="V23" s="9" t="n">
        <x:f>IF(W22+T23&gt;=U23,U23,0)</x:f>
        <x:v>0</x:v>
      </x:c>
      <x:c r="W23" s="9" t="n">
        <x:f>W22+T23-V23</x:f>
        <x:v>52</x:v>
      </x:c>
    </x:row>
    <x:row r="24" ht="48" customHeight="1">
      <x:c r="A24" s="10" t="n">
        <x:v>18</x:v>
      </x:c>
      <x:c r="B24" s="10" t="n">
        <x:f>L23</x:f>
        <x:v>5095</x:v>
      </x:c>
      <x:c r="C24" s="10" t="n">
        <x:f>'参数'!$D$7*'参数'!$D$11*'参数'!$D$15</x:f>
        <x:v>720</x:v>
      </x:c>
      <x:c r="D24" s="10" t="n">
        <x:f>'参数'!$D$7*'参数'!$D$19</x:f>
        <x:v>240</x:v>
      </x:c>
      <x:c r="E24" s="10" t="n">
        <x:f>'参数'!$D$23*'参数'!$D$53+IF(MOD(A24,7)=0,'参数'!$D$54,0)</x:f>
        <x:v>40</x:v>
      </x:c>
      <x:c r="F24" s="10" t="n">
        <x:f>(INT(A24*'参数'!$D$35/7)-INT((A24-1)*'参数'!$D$35/7))*IF(A24&lt;=30,'参数'!$D$56,IF(A24&lt;=60,'参数'!$D$57,'参数'!$D$58))+IF(A24=1,60,0)</x:f>
        <x:v>0</x:v>
      </x:c>
      <x:c r="G24" s="10" t="n">
        <x:f>(INT(A24*'参数'!$D$27)-INT((A24-1)*'参数'!$D$27))*'参数'!$D$55</x:f>
        <x:v>35</x:v>
      </x:c>
      <x:c r="H24" s="10" t="n">
        <x:f>'参数'!$D$31</x:f>
        <x:v>10</x:v>
      </x:c>
      <x:c r="I24" s="10" t="n">
        <x:f>(INT(A24*'参数'!$D$39/7)-INT((A24-1)*'参数'!$D$39/7))*'参数'!$D$59</x:f>
        <x:v>0</x:v>
      </x:c>
      <x:c r="J24" s="10" t="n">
        <x:f>IF(A24=30,4000,IF(A24=60,6000,IF(A24=90,9000,IF(MOD(A24,7)=0,'参数'!$D$43,0))))</x:f>
        <x:v>0</x:v>
      </x:c>
      <x:c r="K24" s="10" t="n">
        <x:f>IF(B24+C24-D24+E24-F24-G24-H24-I24-'参数'!$D$52&gt;=J24,J24,0)</x:f>
        <x:v>0</x:v>
      </x:c>
      <x:c r="L24" s="10" t="n">
        <x:f>B24+C24-D24+E24-F24-G24-H24-I24-K24</x:f>
        <x:v>5570</x:v>
      </x:c>
      <x:c r="M24" s="10" t="n">
        <x:f>IF(A24=1,'参数'!$D$64,0)+IF(MOD(A24,7)=0,'参数'!$D$62,0)+IF(MOD(A24,30)=0,'参数'!$D$63,0)</x:f>
        <x:v>0</x:v>
      </x:c>
      <x:c r="N24" s="10" t="n">
        <x:f>IF(OR(A24=1,A24=7),'参数'!$D$65/2,0)+IF(MOD(A24,7)=0,'参数'!$D$66,0)</x:f>
        <x:v>0</x:v>
      </x:c>
      <x:c r="O24" s="10" t="n">
        <x:f>N24+INT((P23+M24)/'参数'!$D$61)</x:f>
        <x:v>0</x:v>
      </x:c>
      <x:c r="P24" s="10" t="n">
        <x:f>P23+M24-(O24-N24)*'参数'!$D$61</x:f>
        <x:v>0</x:v>
      </x:c>
      <x:c r="Q24" s="10" t="n">
        <x:f>IF(OR(A24=1,A24=31,A24=61),'参数'!$D$70*'参数'!$D$60,0)</x:f>
        <x:v>0</x:v>
      </x:c>
      <x:c r="R24" s="10" t="n">
        <x:f>R23+Q24</x:f>
        <x:v>0</x:v>
      </x:c>
      <x:c r="S24" s="10" t="n">
        <x:f>S23+O24</x:f>
        <x:v>16</x:v>
      </x:c>
      <x:c r="T24" s="10" t="n">
        <x:f>O24*2+IF(MOD(A24,7)=0,'参数'!$D$68,0)+IF(A24=7,'参数'!$D$69,0)</x:f>
        <x:v>0</x:v>
      </x:c>
      <x:c r="U24" s="10" t="n">
        <x:f>IF(A24=90,160,0)</x:f>
        <x:v>0</x:v>
      </x:c>
      <x:c r="V24" s="10" t="n">
        <x:f>IF(W23+T24&gt;=U24,U24,0)</x:f>
        <x:v>0</x:v>
      </x:c>
      <x:c r="W24" s="10" t="n">
        <x:f>W23+T24-V24</x:f>
        <x:v>52</x:v>
      </x:c>
    </x:row>
    <x:row r="25" ht="48" customHeight="1">
      <x:c r="A25" s="9" t="n">
        <x:v>19</x:v>
      </x:c>
      <x:c r="B25" s="9" t="n">
        <x:f>L24</x:f>
        <x:v>5570</x:v>
      </x:c>
      <x:c r="C25" s="9" t="n">
        <x:f>'参数'!$D$7*'参数'!$D$11*'参数'!$D$15</x:f>
        <x:v>720</x:v>
      </x:c>
      <x:c r="D25" s="9" t="n">
        <x:f>'参数'!$D$7*'参数'!$D$19</x:f>
        <x:v>240</x:v>
      </x:c>
      <x:c r="E25" s="9" t="n">
        <x:f>'参数'!$D$23*'参数'!$D$53+IF(MOD(A25,7)=0,'参数'!$D$54,0)</x:f>
        <x:v>40</x:v>
      </x:c>
      <x:c r="F25" s="9" t="n">
        <x:f>(INT(A25*'参数'!$D$35/7)-INT((A25-1)*'参数'!$D$35/7))*IF(A25&lt;=30,'参数'!$D$56,IF(A25&lt;=60,'参数'!$D$57,'参数'!$D$58))+IF(A25=1,60,0)</x:f>
        <x:v>200</x:v>
      </x:c>
      <x:c r="G25" s="9" t="n">
        <x:f>(INT(A25*'参数'!$D$27)-INT((A25-1)*'参数'!$D$27))*'参数'!$D$55</x:f>
        <x:v>35</x:v>
      </x:c>
      <x:c r="H25" s="9" t="n">
        <x:f>'参数'!$D$31</x:f>
        <x:v>10</x:v>
      </x:c>
      <x:c r="I25" s="9" t="n">
        <x:f>(INT(A25*'参数'!$D$39/7)-INT((A25-1)*'参数'!$D$39/7))*'参数'!$D$59</x:f>
        <x:v>0</x:v>
      </x:c>
      <x:c r="J25" s="9" t="n">
        <x:f>IF(A25=30,4000,IF(A25=60,6000,IF(A25=90,9000,IF(MOD(A25,7)=0,'参数'!$D$43,0))))</x:f>
        <x:v>0</x:v>
      </x:c>
      <x:c r="K25" s="9" t="n">
        <x:f>IF(B25+C25-D25+E25-F25-G25-H25-I25-'参数'!$D$52&gt;=J25,J25,0)</x:f>
        <x:v>0</x:v>
      </x:c>
      <x:c r="L25" s="9" t="n">
        <x:f>B25+C25-D25+E25-F25-G25-H25-I25-K25</x:f>
        <x:v>5845</x:v>
      </x:c>
      <x:c r="M25" s="9" t="n">
        <x:f>IF(A25=1,'参数'!$D$64,0)+IF(MOD(A25,7)=0,'参数'!$D$62,0)+IF(MOD(A25,30)=0,'参数'!$D$63,0)</x:f>
        <x:v>0</x:v>
      </x:c>
      <x:c r="N25" s="9" t="n">
        <x:f>IF(OR(A25=1,A25=7),'参数'!$D$65/2,0)+IF(MOD(A25,7)=0,'参数'!$D$66,0)</x:f>
        <x:v>0</x:v>
      </x:c>
      <x:c r="O25" s="9" t="n">
        <x:f>N25+INT((P24+M25)/'参数'!$D$61)</x:f>
        <x:v>0</x:v>
      </x:c>
      <x:c r="P25" s="9" t="n">
        <x:f>P24+M25-(O25-N25)*'参数'!$D$61</x:f>
        <x:v>0</x:v>
      </x:c>
      <x:c r="Q25" s="9" t="n">
        <x:f>IF(OR(A25=1,A25=31,A25=61),'参数'!$D$70*'参数'!$D$60,0)</x:f>
        <x:v>0</x:v>
      </x:c>
      <x:c r="R25" s="9" t="n">
        <x:f>R24+Q25</x:f>
        <x:v>0</x:v>
      </x:c>
      <x:c r="S25" s="9" t="n">
        <x:f>S24+O25</x:f>
        <x:v>16</x:v>
      </x:c>
      <x:c r="T25" s="9" t="n">
        <x:f>O25*2+IF(MOD(A25,7)=0,'参数'!$D$68,0)+IF(A25=7,'参数'!$D$69,0)</x:f>
        <x:v>0</x:v>
      </x:c>
      <x:c r="U25" s="9" t="n">
        <x:f>IF(A25=90,160,0)</x:f>
        <x:v>0</x:v>
      </x:c>
      <x:c r="V25" s="9" t="n">
        <x:f>IF(W24+T25&gt;=U25,U25,0)</x:f>
        <x:v>0</x:v>
      </x:c>
      <x:c r="W25" s="9" t="n">
        <x:f>W24+T25-V25</x:f>
        <x:v>52</x:v>
      </x:c>
    </x:row>
    <x:row r="26" ht="48" customHeight="1">
      <x:c r="A26" s="10" t="n">
        <x:v>20</x:v>
      </x:c>
      <x:c r="B26" s="10" t="n">
        <x:f>L25</x:f>
        <x:v>5845</x:v>
      </x:c>
      <x:c r="C26" s="10" t="n">
        <x:f>'参数'!$D$7*'参数'!$D$11*'参数'!$D$15</x:f>
        <x:v>720</x:v>
      </x:c>
      <x:c r="D26" s="10" t="n">
        <x:f>'参数'!$D$7*'参数'!$D$19</x:f>
        <x:v>240</x:v>
      </x:c>
      <x:c r="E26" s="10" t="n">
        <x:f>'参数'!$D$23*'参数'!$D$53+IF(MOD(A26,7)=0,'参数'!$D$54,0)</x:f>
        <x:v>40</x:v>
      </x:c>
      <x:c r="F26" s="10" t="n">
        <x:f>(INT(A26*'参数'!$D$35/7)-INT((A26-1)*'参数'!$D$35/7))*IF(A26&lt;=30,'参数'!$D$56,IF(A26&lt;=60,'参数'!$D$57,'参数'!$D$58))+IF(A26=1,60,0)</x:f>
        <x:v>0</x:v>
      </x:c>
      <x:c r="G26" s="10" t="n">
        <x:f>(INT(A26*'参数'!$D$27)-INT((A26-1)*'参数'!$D$27))*'参数'!$D$55</x:f>
        <x:v>35</x:v>
      </x:c>
      <x:c r="H26" s="10" t="n">
        <x:f>'参数'!$D$31</x:f>
        <x:v>10</x:v>
      </x:c>
      <x:c r="I26" s="10" t="n">
        <x:f>(INT(A26*'参数'!$D$39/7)-INT((A26-1)*'参数'!$D$39/7))*'参数'!$D$59</x:f>
        <x:v>0</x:v>
      </x:c>
      <x:c r="J26" s="10" t="n">
        <x:f>IF(A26=30,4000,IF(A26=60,6000,IF(A26=90,9000,IF(MOD(A26,7)=0,'参数'!$D$43,0))))</x:f>
        <x:v>0</x:v>
      </x:c>
      <x:c r="K26" s="10" t="n">
        <x:f>IF(B26+C26-D26+E26-F26-G26-H26-I26-'参数'!$D$52&gt;=J26,J26,0)</x:f>
        <x:v>0</x:v>
      </x:c>
      <x:c r="L26" s="10" t="n">
        <x:f>B26+C26-D26+E26-F26-G26-H26-I26-K26</x:f>
        <x:v>6320</x:v>
      </x:c>
      <x:c r="M26" s="10" t="n">
        <x:f>IF(A26=1,'参数'!$D$64,0)+IF(MOD(A26,7)=0,'参数'!$D$62,0)+IF(MOD(A26,30)=0,'参数'!$D$63,0)</x:f>
        <x:v>0</x:v>
      </x:c>
      <x:c r="N26" s="10" t="n">
        <x:f>IF(OR(A26=1,A26=7),'参数'!$D$65/2,0)+IF(MOD(A26,7)=0,'参数'!$D$66,0)</x:f>
        <x:v>0</x:v>
      </x:c>
      <x:c r="O26" s="10" t="n">
        <x:f>N26+INT((P25+M26)/'参数'!$D$61)</x:f>
        <x:v>0</x:v>
      </x:c>
      <x:c r="P26" s="10" t="n">
        <x:f>P25+M26-(O26-N26)*'参数'!$D$61</x:f>
        <x:v>0</x:v>
      </x:c>
      <x:c r="Q26" s="10" t="n">
        <x:f>IF(OR(A26=1,A26=31,A26=61),'参数'!$D$70*'参数'!$D$60,0)</x:f>
        <x:v>0</x:v>
      </x:c>
      <x:c r="R26" s="10" t="n">
        <x:f>R25+Q26</x:f>
        <x:v>0</x:v>
      </x:c>
      <x:c r="S26" s="10" t="n">
        <x:f>S25+O26</x:f>
        <x:v>16</x:v>
      </x:c>
      <x:c r="T26" s="10" t="n">
        <x:f>O26*2+IF(MOD(A26,7)=0,'参数'!$D$68,0)+IF(A26=7,'参数'!$D$69,0)</x:f>
        <x:v>0</x:v>
      </x:c>
      <x:c r="U26" s="10" t="n">
        <x:f>IF(A26=90,160,0)</x:f>
        <x:v>0</x:v>
      </x:c>
      <x:c r="V26" s="10" t="n">
        <x:f>IF(W25+T26&gt;=U26,U26,0)</x:f>
        <x:v>0</x:v>
      </x:c>
      <x:c r="W26" s="10" t="n">
        <x:f>W25+T26-V26</x:f>
        <x:v>52</x:v>
      </x:c>
    </x:row>
    <x:row r="27" ht="48" customHeight="1">
      <x:c r="A27" s="9" t="n">
        <x:v>21</x:v>
      </x:c>
      <x:c r="B27" s="9" t="n">
        <x:f>L26</x:f>
        <x:v>6320</x:v>
      </x:c>
      <x:c r="C27" s="9" t="n">
        <x:f>'参数'!$D$7*'参数'!$D$11*'参数'!$D$15</x:f>
        <x:v>720</x:v>
      </x:c>
      <x:c r="D27" s="9" t="n">
        <x:f>'参数'!$D$7*'参数'!$D$19</x:f>
        <x:v>240</x:v>
      </x:c>
      <x:c r="E27" s="9" t="n">
        <x:f>'参数'!$D$23*'参数'!$D$53+IF(MOD(A27,7)=0,'参数'!$D$54,0)</x:f>
        <x:v>180</x:v>
      </x:c>
      <x:c r="F27" s="9" t="n">
        <x:f>(INT(A27*'参数'!$D$35/7)-INT((A27-1)*'参数'!$D$35/7))*IF(A27&lt;=30,'参数'!$D$56,IF(A27&lt;=60,'参数'!$D$57,'参数'!$D$58))+IF(A27=1,60,0)</x:f>
        <x:v>200</x:v>
      </x:c>
      <x:c r="G27" s="9" t="n">
        <x:f>(INT(A27*'参数'!$D$27)-INT((A27-1)*'参数'!$D$27))*'参数'!$D$55</x:f>
        <x:v>35</x:v>
      </x:c>
      <x:c r="H27" s="9" t="n">
        <x:f>'参数'!$D$31</x:f>
        <x:v>10</x:v>
      </x:c>
      <x:c r="I27" s="9" t="n">
        <x:f>(INT(A27*'参数'!$D$39/7)-INT((A27-1)*'参数'!$D$39/7))*'参数'!$D$59</x:f>
        <x:v>300</x:v>
      </x:c>
      <x:c r="J27" s="9" t="n">
        <x:f>IF(A27=30,4000,IF(A27=60,6000,IF(A27=90,9000,IF(MOD(A27,7)=0,'参数'!$D$43,0))))</x:f>
        <x:v>900</x:v>
      </x:c>
      <x:c r="K27" s="9" t="n">
        <x:f>IF(B27+C27-D27+E27-F27-G27-H27-I27-'参数'!$D$52&gt;=J27,J27,0)</x:f>
        <x:v>900</x:v>
      </x:c>
      <x:c r="L27" s="9" t="n">
        <x:f>B27+C27-D27+E27-F27-G27-H27-I27-K27</x:f>
        <x:v>5535</x:v>
      </x:c>
      <x:c r="M27" s="9" t="n">
        <x:f>IF(A27=1,'参数'!$D$64,0)+IF(MOD(A27,7)=0,'参数'!$D$62,0)+IF(MOD(A27,30)=0,'参数'!$D$63,0)</x:f>
        <x:v>60</x:v>
      </x:c>
      <x:c r="N27" s="9" t="n">
        <x:f>IF(OR(A27=1,A27=7),'参数'!$D$65/2,0)+IF(MOD(A27,7)=0,'参数'!$D$66,0)</x:f>
        <x:v>1</x:v>
      </x:c>
      <x:c r="O27" s="9" t="n">
        <x:f>N27+INT((P26+M27)/'参数'!$D$61)</x:f>
        <x:v>2</x:v>
      </x:c>
      <x:c r="P27" s="9" t="n">
        <x:f>P26+M27-(O27-N27)*'参数'!$D$61</x:f>
        <x:v>0</x:v>
      </x:c>
      <x:c r="Q27" s="9" t="n">
        <x:f>IF(OR(A27=1,A27=31,A27=61),'参数'!$D$70*'参数'!$D$60,0)</x:f>
        <x:v>0</x:v>
      </x:c>
      <x:c r="R27" s="9" t="n">
        <x:f>R26+Q27</x:f>
        <x:v>0</x:v>
      </x:c>
      <x:c r="S27" s="9" t="n">
        <x:f>S26+O27</x:f>
        <x:v>18</x:v>
      </x:c>
      <x:c r="T27" s="9" t="n">
        <x:f>O27*2+IF(MOD(A27,7)=0,'参数'!$D$68,0)+IF(A27=7,'参数'!$D$69,0)</x:f>
        <x:v>9</x:v>
      </x:c>
      <x:c r="U27" s="9" t="n">
        <x:f>IF(A27=90,160,0)</x:f>
        <x:v>0</x:v>
      </x:c>
      <x:c r="V27" s="9" t="n">
        <x:f>IF(W26+T27&gt;=U27,U27,0)</x:f>
        <x:v>0</x:v>
      </x:c>
      <x:c r="W27" s="9" t="n">
        <x:f>W26+T27-V27</x:f>
        <x:v>61</x:v>
      </x:c>
    </x:row>
    <x:row r="28" ht="48" customHeight="1">
      <x:c r="A28" s="10" t="n">
        <x:v>22</x:v>
      </x:c>
      <x:c r="B28" s="10" t="n">
        <x:f>L27</x:f>
        <x:v>5535</x:v>
      </x:c>
      <x:c r="C28" s="10" t="n">
        <x:f>'参数'!$D$7*'参数'!$D$11*'参数'!$D$15</x:f>
        <x:v>720</x:v>
      </x:c>
      <x:c r="D28" s="10" t="n">
        <x:f>'参数'!$D$7*'参数'!$D$19</x:f>
        <x:v>240</x:v>
      </x:c>
      <x:c r="E28" s="10" t="n">
        <x:f>'参数'!$D$23*'参数'!$D$53+IF(MOD(A28,7)=0,'参数'!$D$54,0)</x:f>
        <x:v>40</x:v>
      </x:c>
      <x:c r="F28" s="10" t="n">
        <x:f>(INT(A28*'参数'!$D$35/7)-INT((A28-1)*'参数'!$D$35/7))*IF(A28&lt;=30,'参数'!$D$56,IF(A28&lt;=60,'参数'!$D$57,'参数'!$D$58))+IF(A28=1,60,0)</x:f>
        <x:v>0</x:v>
      </x:c>
      <x:c r="G28" s="10" t="n">
        <x:f>(INT(A28*'参数'!$D$27)-INT((A28-1)*'参数'!$D$27))*'参数'!$D$55</x:f>
        <x:v>35</x:v>
      </x:c>
      <x:c r="H28" s="10" t="n">
        <x:f>'参数'!$D$31</x:f>
        <x:v>10</x:v>
      </x:c>
      <x:c r="I28" s="10" t="n">
        <x:f>(INT(A28*'参数'!$D$39/7)-INT((A28-1)*'参数'!$D$39/7))*'参数'!$D$59</x:f>
        <x:v>0</x:v>
      </x:c>
      <x:c r="J28" s="10" t="n">
        <x:f>IF(A28=30,4000,IF(A28=60,6000,IF(A28=90,9000,IF(MOD(A28,7)=0,'参数'!$D$43,0))))</x:f>
        <x:v>0</x:v>
      </x:c>
      <x:c r="K28" s="10" t="n">
        <x:f>IF(B28+C28-D28+E28-F28-G28-H28-I28-'参数'!$D$52&gt;=J28,J28,0)</x:f>
        <x:v>0</x:v>
      </x:c>
      <x:c r="L28" s="10" t="n">
        <x:f>B28+C28-D28+E28-F28-G28-H28-I28-K28</x:f>
        <x:v>6010</x:v>
      </x:c>
      <x:c r="M28" s="10" t="n">
        <x:f>IF(A28=1,'参数'!$D$64,0)+IF(MOD(A28,7)=0,'参数'!$D$62,0)+IF(MOD(A28,30)=0,'参数'!$D$63,0)</x:f>
        <x:v>0</x:v>
      </x:c>
      <x:c r="N28" s="10" t="n">
        <x:f>IF(OR(A28=1,A28=7),'参数'!$D$65/2,0)+IF(MOD(A28,7)=0,'参数'!$D$66,0)</x:f>
        <x:v>0</x:v>
      </x:c>
      <x:c r="O28" s="10" t="n">
        <x:f>N28+INT((P27+M28)/'参数'!$D$61)</x:f>
        <x:v>0</x:v>
      </x:c>
      <x:c r="P28" s="10" t="n">
        <x:f>P27+M28-(O28-N28)*'参数'!$D$61</x:f>
        <x:v>0</x:v>
      </x:c>
      <x:c r="Q28" s="10" t="n">
        <x:f>IF(OR(A28=1,A28=31,A28=61),'参数'!$D$70*'参数'!$D$60,0)</x:f>
        <x:v>0</x:v>
      </x:c>
      <x:c r="R28" s="10" t="n">
        <x:f>R27+Q28</x:f>
        <x:v>0</x:v>
      </x:c>
      <x:c r="S28" s="10" t="n">
        <x:f>S27+O28</x:f>
        <x:v>18</x:v>
      </x:c>
      <x:c r="T28" s="10" t="n">
        <x:f>O28*2+IF(MOD(A28,7)=0,'参数'!$D$68,0)+IF(A28=7,'参数'!$D$69,0)</x:f>
        <x:v>0</x:v>
      </x:c>
      <x:c r="U28" s="10" t="n">
        <x:f>IF(A28=90,160,0)</x:f>
        <x:v>0</x:v>
      </x:c>
      <x:c r="V28" s="10" t="n">
        <x:f>IF(W27+T28&gt;=U28,U28,0)</x:f>
        <x:v>0</x:v>
      </x:c>
      <x:c r="W28" s="10" t="n">
        <x:f>W27+T28-V28</x:f>
        <x:v>61</x:v>
      </x:c>
    </x:row>
    <x:row r="29" ht="48" customHeight="1">
      <x:c r="A29" s="9" t="n">
        <x:v>23</x:v>
      </x:c>
      <x:c r="B29" s="9" t="n">
        <x:f>L28</x:f>
        <x:v>6010</x:v>
      </x:c>
      <x:c r="C29" s="9" t="n">
        <x:f>'参数'!$D$7*'参数'!$D$11*'参数'!$D$15</x:f>
        <x:v>720</x:v>
      </x:c>
      <x:c r="D29" s="9" t="n">
        <x:f>'参数'!$D$7*'参数'!$D$19</x:f>
        <x:v>240</x:v>
      </x:c>
      <x:c r="E29" s="9" t="n">
        <x:f>'参数'!$D$23*'参数'!$D$53+IF(MOD(A29,7)=0,'参数'!$D$54,0)</x:f>
        <x:v>40</x:v>
      </x:c>
      <x:c r="F29" s="9" t="n">
        <x:f>(INT(A29*'参数'!$D$35/7)-INT((A29-1)*'参数'!$D$35/7))*IF(A29&lt;=30,'参数'!$D$56,IF(A29&lt;=60,'参数'!$D$57,'参数'!$D$58))+IF(A29=1,60,0)</x:f>
        <x:v>0</x:v>
      </x:c>
      <x:c r="G29" s="9" t="n">
        <x:f>(INT(A29*'参数'!$D$27)-INT((A29-1)*'参数'!$D$27))*'参数'!$D$55</x:f>
        <x:v>35</x:v>
      </x:c>
      <x:c r="H29" s="9" t="n">
        <x:f>'参数'!$D$31</x:f>
        <x:v>10</x:v>
      </x:c>
      <x:c r="I29" s="9" t="n">
        <x:f>(INT(A29*'参数'!$D$39/7)-INT((A29-1)*'参数'!$D$39/7))*'参数'!$D$59</x:f>
        <x:v>0</x:v>
      </x:c>
      <x:c r="J29" s="9" t="n">
        <x:f>IF(A29=30,4000,IF(A29=60,6000,IF(A29=90,9000,IF(MOD(A29,7)=0,'参数'!$D$43,0))))</x:f>
        <x:v>0</x:v>
      </x:c>
      <x:c r="K29" s="9" t="n">
        <x:f>IF(B29+C29-D29+E29-F29-G29-H29-I29-'参数'!$D$52&gt;=J29,J29,0)</x:f>
        <x:v>0</x:v>
      </x:c>
      <x:c r="L29" s="9" t="n">
        <x:f>B29+C29-D29+E29-F29-G29-H29-I29-K29</x:f>
        <x:v>6485</x:v>
      </x:c>
      <x:c r="M29" s="9" t="n">
        <x:f>IF(A29=1,'参数'!$D$64,0)+IF(MOD(A29,7)=0,'参数'!$D$62,0)+IF(MOD(A29,30)=0,'参数'!$D$63,0)</x:f>
        <x:v>0</x:v>
      </x:c>
      <x:c r="N29" s="9" t="n">
        <x:f>IF(OR(A29=1,A29=7),'参数'!$D$65/2,0)+IF(MOD(A29,7)=0,'参数'!$D$66,0)</x:f>
        <x:v>0</x:v>
      </x:c>
      <x:c r="O29" s="9" t="n">
        <x:f>N29+INT((P28+M29)/'参数'!$D$61)</x:f>
        <x:v>0</x:v>
      </x:c>
      <x:c r="P29" s="9" t="n">
        <x:f>P28+M29-(O29-N29)*'参数'!$D$61</x:f>
        <x:v>0</x:v>
      </x:c>
      <x:c r="Q29" s="9" t="n">
        <x:f>IF(OR(A29=1,A29=31,A29=61),'参数'!$D$70*'参数'!$D$60,0)</x:f>
        <x:v>0</x:v>
      </x:c>
      <x:c r="R29" s="9" t="n">
        <x:f>R28+Q29</x:f>
        <x:v>0</x:v>
      </x:c>
      <x:c r="S29" s="9" t="n">
        <x:f>S28+O29</x:f>
        <x:v>18</x:v>
      </x:c>
      <x:c r="T29" s="9" t="n">
        <x:f>O29*2+IF(MOD(A29,7)=0,'参数'!$D$68,0)+IF(A29=7,'参数'!$D$69,0)</x:f>
        <x:v>0</x:v>
      </x:c>
      <x:c r="U29" s="9" t="n">
        <x:f>IF(A29=90,160,0)</x:f>
        <x:v>0</x:v>
      </x:c>
      <x:c r="V29" s="9" t="n">
        <x:f>IF(W28+T29&gt;=U29,U29,0)</x:f>
        <x:v>0</x:v>
      </x:c>
      <x:c r="W29" s="9" t="n">
        <x:f>W28+T29-V29</x:f>
        <x:v>61</x:v>
      </x:c>
    </x:row>
    <x:row r="30" ht="48" customHeight="1">
      <x:c r="A30" s="10" t="n">
        <x:v>24</x:v>
      </x:c>
      <x:c r="B30" s="10" t="n">
        <x:f>L29</x:f>
        <x:v>6485</x:v>
      </x:c>
      <x:c r="C30" s="10" t="n">
        <x:f>'参数'!$D$7*'参数'!$D$11*'参数'!$D$15</x:f>
        <x:v>720</x:v>
      </x:c>
      <x:c r="D30" s="10" t="n">
        <x:f>'参数'!$D$7*'参数'!$D$19</x:f>
        <x:v>240</x:v>
      </x:c>
      <x:c r="E30" s="10" t="n">
        <x:f>'参数'!$D$23*'参数'!$D$53+IF(MOD(A30,7)=0,'参数'!$D$54,0)</x:f>
        <x:v>40</x:v>
      </x:c>
      <x:c r="F30" s="10" t="n">
        <x:f>(INT(A30*'参数'!$D$35/7)-INT((A30-1)*'参数'!$D$35/7))*IF(A30&lt;=30,'参数'!$D$56,IF(A30&lt;=60,'参数'!$D$57,'参数'!$D$58))+IF(A30=1,60,0)</x:f>
        <x:v>200</x:v>
      </x:c>
      <x:c r="G30" s="10" t="n">
        <x:f>(INT(A30*'参数'!$D$27)-INT((A30-1)*'参数'!$D$27))*'参数'!$D$55</x:f>
        <x:v>35</x:v>
      </x:c>
      <x:c r="H30" s="10" t="n">
        <x:f>'参数'!$D$31</x:f>
        <x:v>10</x:v>
      </x:c>
      <x:c r="I30" s="10" t="n">
        <x:f>(INT(A30*'参数'!$D$39/7)-INT((A30-1)*'参数'!$D$39/7))*'参数'!$D$59</x:f>
        <x:v>0</x:v>
      </x:c>
      <x:c r="J30" s="10" t="n">
        <x:f>IF(A30=30,4000,IF(A30=60,6000,IF(A30=90,9000,IF(MOD(A30,7)=0,'参数'!$D$43,0))))</x:f>
        <x:v>0</x:v>
      </x:c>
      <x:c r="K30" s="10" t="n">
        <x:f>IF(B30+C30-D30+E30-F30-G30-H30-I30-'参数'!$D$52&gt;=J30,J30,0)</x:f>
        <x:v>0</x:v>
      </x:c>
      <x:c r="L30" s="10" t="n">
        <x:f>B30+C30-D30+E30-F30-G30-H30-I30-K30</x:f>
        <x:v>6760</x:v>
      </x:c>
      <x:c r="M30" s="10" t="n">
        <x:f>IF(A30=1,'参数'!$D$64,0)+IF(MOD(A30,7)=0,'参数'!$D$62,0)+IF(MOD(A30,30)=0,'参数'!$D$63,0)</x:f>
        <x:v>0</x:v>
      </x:c>
      <x:c r="N30" s="10" t="n">
        <x:f>IF(OR(A30=1,A30=7),'参数'!$D$65/2,0)+IF(MOD(A30,7)=0,'参数'!$D$66,0)</x:f>
        <x:v>0</x:v>
      </x:c>
      <x:c r="O30" s="10" t="n">
        <x:f>N30+INT((P29+M30)/'参数'!$D$61)</x:f>
        <x:v>0</x:v>
      </x:c>
      <x:c r="P30" s="10" t="n">
        <x:f>P29+M30-(O30-N30)*'参数'!$D$61</x:f>
        <x:v>0</x:v>
      </x:c>
      <x:c r="Q30" s="10" t="n">
        <x:f>IF(OR(A30=1,A30=31,A30=61),'参数'!$D$70*'参数'!$D$60,0)</x:f>
        <x:v>0</x:v>
      </x:c>
      <x:c r="R30" s="10" t="n">
        <x:f>R29+Q30</x:f>
        <x:v>0</x:v>
      </x:c>
      <x:c r="S30" s="10" t="n">
        <x:f>S29+O30</x:f>
        <x:v>18</x:v>
      </x:c>
      <x:c r="T30" s="10" t="n">
        <x:f>O30*2+IF(MOD(A30,7)=0,'参数'!$D$68,0)+IF(A30=7,'参数'!$D$69,0)</x:f>
        <x:v>0</x:v>
      </x:c>
      <x:c r="U30" s="10" t="n">
        <x:f>IF(A30=90,160,0)</x:f>
        <x:v>0</x:v>
      </x:c>
      <x:c r="V30" s="10" t="n">
        <x:f>IF(W29+T30&gt;=U30,U30,0)</x:f>
        <x:v>0</x:v>
      </x:c>
      <x:c r="W30" s="10" t="n">
        <x:f>W29+T30-V30</x:f>
        <x:v>61</x:v>
      </x:c>
    </x:row>
    <x:row r="31" ht="48" customHeight="1">
      <x:c r="A31" s="9" t="n">
        <x:v>25</x:v>
      </x:c>
      <x:c r="B31" s="9" t="n">
        <x:f>L30</x:f>
        <x:v>6760</x:v>
      </x:c>
      <x:c r="C31" s="9" t="n">
        <x:f>'参数'!$D$7*'参数'!$D$11*'参数'!$D$15</x:f>
        <x:v>720</x:v>
      </x:c>
      <x:c r="D31" s="9" t="n">
        <x:f>'参数'!$D$7*'参数'!$D$19</x:f>
        <x:v>240</x:v>
      </x:c>
      <x:c r="E31" s="9" t="n">
        <x:f>'参数'!$D$23*'参数'!$D$53+IF(MOD(A31,7)=0,'参数'!$D$54,0)</x:f>
        <x:v>40</x:v>
      </x:c>
      <x:c r="F31" s="9" t="n">
        <x:f>(INT(A31*'参数'!$D$35/7)-INT((A31-1)*'参数'!$D$35/7))*IF(A31&lt;=30,'参数'!$D$56,IF(A31&lt;=60,'参数'!$D$57,'参数'!$D$58))+IF(A31=1,60,0)</x:f>
        <x:v>0</x:v>
      </x:c>
      <x:c r="G31" s="9" t="n">
        <x:f>(INT(A31*'参数'!$D$27)-INT((A31-1)*'参数'!$D$27))*'参数'!$D$55</x:f>
        <x:v>35</x:v>
      </x:c>
      <x:c r="H31" s="9" t="n">
        <x:f>'参数'!$D$31</x:f>
        <x:v>10</x:v>
      </x:c>
      <x:c r="I31" s="9" t="n">
        <x:f>(INT(A31*'参数'!$D$39/7)-INT((A31-1)*'参数'!$D$39/7))*'参数'!$D$59</x:f>
        <x:v>0</x:v>
      </x:c>
      <x:c r="J31" s="9" t="n">
        <x:f>IF(A31=30,4000,IF(A31=60,6000,IF(A31=90,9000,IF(MOD(A31,7)=0,'参数'!$D$43,0))))</x:f>
        <x:v>0</x:v>
      </x:c>
      <x:c r="K31" s="9" t="n">
        <x:f>IF(B31+C31-D31+E31-F31-G31-H31-I31-'参数'!$D$52&gt;=J31,J31,0)</x:f>
        <x:v>0</x:v>
      </x:c>
      <x:c r="L31" s="9" t="n">
        <x:f>B31+C31-D31+E31-F31-G31-H31-I31-K31</x:f>
        <x:v>7235</x:v>
      </x:c>
      <x:c r="M31" s="9" t="n">
        <x:f>IF(A31=1,'参数'!$D$64,0)+IF(MOD(A31,7)=0,'参数'!$D$62,0)+IF(MOD(A31,30)=0,'参数'!$D$63,0)</x:f>
        <x:v>0</x:v>
      </x:c>
      <x:c r="N31" s="9" t="n">
        <x:f>IF(OR(A31=1,A31=7),'参数'!$D$65/2,0)+IF(MOD(A31,7)=0,'参数'!$D$66,0)</x:f>
        <x:v>0</x:v>
      </x:c>
      <x:c r="O31" s="9" t="n">
        <x:f>N31+INT((P30+M31)/'参数'!$D$61)</x:f>
        <x:v>0</x:v>
      </x:c>
      <x:c r="P31" s="9" t="n">
        <x:f>P30+M31-(O31-N31)*'参数'!$D$61</x:f>
        <x:v>0</x:v>
      </x:c>
      <x:c r="Q31" s="9" t="n">
        <x:f>IF(OR(A31=1,A31=31,A31=61),'参数'!$D$70*'参数'!$D$60,0)</x:f>
        <x:v>0</x:v>
      </x:c>
      <x:c r="R31" s="9" t="n">
        <x:f>R30+Q31</x:f>
        <x:v>0</x:v>
      </x:c>
      <x:c r="S31" s="9" t="n">
        <x:f>S30+O31</x:f>
        <x:v>18</x:v>
      </x:c>
      <x:c r="T31" s="9" t="n">
        <x:f>O31*2+IF(MOD(A31,7)=0,'参数'!$D$68,0)+IF(A31=7,'参数'!$D$69,0)</x:f>
        <x:v>0</x:v>
      </x:c>
      <x:c r="U31" s="9" t="n">
        <x:f>IF(A31=90,160,0)</x:f>
        <x:v>0</x:v>
      </x:c>
      <x:c r="V31" s="9" t="n">
        <x:f>IF(W30+T31&gt;=U31,U31,0)</x:f>
        <x:v>0</x:v>
      </x:c>
      <x:c r="W31" s="9" t="n">
        <x:f>W30+T31-V31</x:f>
        <x:v>61</x:v>
      </x:c>
    </x:row>
    <x:row r="32" ht="48" customHeight="1">
      <x:c r="A32" s="10" t="n">
        <x:v>26</x:v>
      </x:c>
      <x:c r="B32" s="10" t="n">
        <x:f>L31</x:f>
        <x:v>7235</x:v>
      </x:c>
      <x:c r="C32" s="10" t="n">
        <x:f>'参数'!$D$7*'参数'!$D$11*'参数'!$D$15</x:f>
        <x:v>720</x:v>
      </x:c>
      <x:c r="D32" s="10" t="n">
        <x:f>'参数'!$D$7*'参数'!$D$19</x:f>
        <x:v>240</x:v>
      </x:c>
      <x:c r="E32" s="10" t="n">
        <x:f>'参数'!$D$23*'参数'!$D$53+IF(MOD(A32,7)=0,'参数'!$D$54,0)</x:f>
        <x:v>40</x:v>
      </x:c>
      <x:c r="F32" s="10" t="n">
        <x:f>(INT(A32*'参数'!$D$35/7)-INT((A32-1)*'参数'!$D$35/7))*IF(A32&lt;=30,'参数'!$D$56,IF(A32&lt;=60,'参数'!$D$57,'参数'!$D$58))+IF(A32=1,60,0)</x:f>
        <x:v>200</x:v>
      </x:c>
      <x:c r="G32" s="10" t="n">
        <x:f>(INT(A32*'参数'!$D$27)-INT((A32-1)*'参数'!$D$27))*'参数'!$D$55</x:f>
        <x:v>35</x:v>
      </x:c>
      <x:c r="H32" s="10" t="n">
        <x:f>'参数'!$D$31</x:f>
        <x:v>10</x:v>
      </x:c>
      <x:c r="I32" s="10" t="n">
        <x:f>(INT(A32*'参数'!$D$39/7)-INT((A32-1)*'参数'!$D$39/7))*'参数'!$D$59</x:f>
        <x:v>0</x:v>
      </x:c>
      <x:c r="J32" s="10" t="n">
        <x:f>IF(A32=30,4000,IF(A32=60,6000,IF(A32=90,9000,IF(MOD(A32,7)=0,'参数'!$D$43,0))))</x:f>
        <x:v>0</x:v>
      </x:c>
      <x:c r="K32" s="10" t="n">
        <x:f>IF(B32+C32-D32+E32-F32-G32-H32-I32-'参数'!$D$52&gt;=J32,J32,0)</x:f>
        <x:v>0</x:v>
      </x:c>
      <x:c r="L32" s="10" t="n">
        <x:f>B32+C32-D32+E32-F32-G32-H32-I32-K32</x:f>
        <x:v>7510</x:v>
      </x:c>
      <x:c r="M32" s="10" t="n">
        <x:f>IF(A32=1,'参数'!$D$64,0)+IF(MOD(A32,7)=0,'参数'!$D$62,0)+IF(MOD(A32,30)=0,'参数'!$D$63,0)</x:f>
        <x:v>0</x:v>
      </x:c>
      <x:c r="N32" s="10" t="n">
        <x:f>IF(OR(A32=1,A32=7),'参数'!$D$65/2,0)+IF(MOD(A32,7)=0,'参数'!$D$66,0)</x:f>
        <x:v>0</x:v>
      </x:c>
      <x:c r="O32" s="10" t="n">
        <x:f>N32+INT((P31+M32)/'参数'!$D$61)</x:f>
        <x:v>0</x:v>
      </x:c>
      <x:c r="P32" s="10" t="n">
        <x:f>P31+M32-(O32-N32)*'参数'!$D$61</x:f>
        <x:v>0</x:v>
      </x:c>
      <x:c r="Q32" s="10" t="n">
        <x:f>IF(OR(A32=1,A32=31,A32=61),'参数'!$D$70*'参数'!$D$60,0)</x:f>
        <x:v>0</x:v>
      </x:c>
      <x:c r="R32" s="10" t="n">
        <x:f>R31+Q32</x:f>
        <x:v>0</x:v>
      </x:c>
      <x:c r="S32" s="10" t="n">
        <x:f>S31+O32</x:f>
        <x:v>18</x:v>
      </x:c>
      <x:c r="T32" s="10" t="n">
        <x:f>O32*2+IF(MOD(A32,7)=0,'参数'!$D$68,0)+IF(A32=7,'参数'!$D$69,0)</x:f>
        <x:v>0</x:v>
      </x:c>
      <x:c r="U32" s="10" t="n">
        <x:f>IF(A32=90,160,0)</x:f>
        <x:v>0</x:v>
      </x:c>
      <x:c r="V32" s="10" t="n">
        <x:f>IF(W31+T32&gt;=U32,U32,0)</x:f>
        <x:v>0</x:v>
      </x:c>
      <x:c r="W32" s="10" t="n">
        <x:f>W31+T32-V32</x:f>
        <x:v>61</x:v>
      </x:c>
    </x:row>
    <x:row r="33" ht="48" customHeight="1">
      <x:c r="A33" s="9" t="n">
        <x:v>27</x:v>
      </x:c>
      <x:c r="B33" s="9" t="n">
        <x:f>L32</x:f>
        <x:v>7510</x:v>
      </x:c>
      <x:c r="C33" s="9" t="n">
        <x:f>'参数'!$D$7*'参数'!$D$11*'参数'!$D$15</x:f>
        <x:v>720</x:v>
      </x:c>
      <x:c r="D33" s="9" t="n">
        <x:f>'参数'!$D$7*'参数'!$D$19</x:f>
        <x:v>240</x:v>
      </x:c>
      <x:c r="E33" s="9" t="n">
        <x:f>'参数'!$D$23*'参数'!$D$53+IF(MOD(A33,7)=0,'参数'!$D$54,0)</x:f>
        <x:v>40</x:v>
      </x:c>
      <x:c r="F33" s="9" t="n">
        <x:f>(INT(A33*'参数'!$D$35/7)-INT((A33-1)*'参数'!$D$35/7))*IF(A33&lt;=30,'参数'!$D$56,IF(A33&lt;=60,'参数'!$D$57,'参数'!$D$58))+IF(A33=1,60,0)</x:f>
        <x:v>0</x:v>
      </x:c>
      <x:c r="G33" s="9" t="n">
        <x:f>(INT(A33*'参数'!$D$27)-INT((A33-1)*'参数'!$D$27))*'参数'!$D$55</x:f>
        <x:v>35</x:v>
      </x:c>
      <x:c r="H33" s="9" t="n">
        <x:f>'参数'!$D$31</x:f>
        <x:v>10</x:v>
      </x:c>
      <x:c r="I33" s="9" t="n">
        <x:f>(INT(A33*'参数'!$D$39/7)-INT((A33-1)*'参数'!$D$39/7))*'参数'!$D$59</x:f>
        <x:v>0</x:v>
      </x:c>
      <x:c r="J33" s="9" t="n">
        <x:f>IF(A33=30,4000,IF(A33=60,6000,IF(A33=90,9000,IF(MOD(A33,7)=0,'参数'!$D$43,0))))</x:f>
        <x:v>0</x:v>
      </x:c>
      <x:c r="K33" s="9" t="n">
        <x:f>IF(B33+C33-D33+E33-F33-G33-H33-I33-'参数'!$D$52&gt;=J33,J33,0)</x:f>
        <x:v>0</x:v>
      </x:c>
      <x:c r="L33" s="9" t="n">
        <x:f>B33+C33-D33+E33-F33-G33-H33-I33-K33</x:f>
        <x:v>7985</x:v>
      </x:c>
      <x:c r="M33" s="9" t="n">
        <x:f>IF(A33=1,'参数'!$D$64,0)+IF(MOD(A33,7)=0,'参数'!$D$62,0)+IF(MOD(A33,30)=0,'参数'!$D$63,0)</x:f>
        <x:v>0</x:v>
      </x:c>
      <x:c r="N33" s="9" t="n">
        <x:f>IF(OR(A33=1,A33=7),'参数'!$D$65/2,0)+IF(MOD(A33,7)=0,'参数'!$D$66,0)</x:f>
        <x:v>0</x:v>
      </x:c>
      <x:c r="O33" s="9" t="n">
        <x:f>N33+INT((P32+M33)/'参数'!$D$61)</x:f>
        <x:v>0</x:v>
      </x:c>
      <x:c r="P33" s="9" t="n">
        <x:f>P32+M33-(O33-N33)*'参数'!$D$61</x:f>
        <x:v>0</x:v>
      </x:c>
      <x:c r="Q33" s="9" t="n">
        <x:f>IF(OR(A33=1,A33=31,A33=61),'参数'!$D$70*'参数'!$D$60,0)</x:f>
        <x:v>0</x:v>
      </x:c>
      <x:c r="R33" s="9" t="n">
        <x:f>R32+Q33</x:f>
        <x:v>0</x:v>
      </x:c>
      <x:c r="S33" s="9" t="n">
        <x:f>S32+O33</x:f>
        <x:v>18</x:v>
      </x:c>
      <x:c r="T33" s="9" t="n">
        <x:f>O33*2+IF(MOD(A33,7)=0,'参数'!$D$68,0)+IF(A33=7,'参数'!$D$69,0)</x:f>
        <x:v>0</x:v>
      </x:c>
      <x:c r="U33" s="9" t="n">
        <x:f>IF(A33=90,160,0)</x:f>
        <x:v>0</x:v>
      </x:c>
      <x:c r="V33" s="9" t="n">
        <x:f>IF(W32+T33&gt;=U33,U33,0)</x:f>
        <x:v>0</x:v>
      </x:c>
      <x:c r="W33" s="9" t="n">
        <x:f>W32+T33-V33</x:f>
        <x:v>61</x:v>
      </x:c>
    </x:row>
    <x:row r="34" ht="48" customHeight="1">
      <x:c r="A34" s="10" t="n">
        <x:v>28</x:v>
      </x:c>
      <x:c r="B34" s="10" t="n">
        <x:f>L33</x:f>
        <x:v>7985</x:v>
      </x:c>
      <x:c r="C34" s="10" t="n">
        <x:f>'参数'!$D$7*'参数'!$D$11*'参数'!$D$15</x:f>
        <x:v>720</x:v>
      </x:c>
      <x:c r="D34" s="10" t="n">
        <x:f>'参数'!$D$7*'参数'!$D$19</x:f>
        <x:v>240</x:v>
      </x:c>
      <x:c r="E34" s="10" t="n">
        <x:f>'参数'!$D$23*'参数'!$D$53+IF(MOD(A34,7)=0,'参数'!$D$54,0)</x:f>
        <x:v>180</x:v>
      </x:c>
      <x:c r="F34" s="10" t="n">
        <x:f>(INT(A34*'参数'!$D$35/7)-INT((A34-1)*'参数'!$D$35/7))*IF(A34&lt;=30,'参数'!$D$56,IF(A34&lt;=60,'参数'!$D$57,'参数'!$D$58))+IF(A34=1,60,0)</x:f>
        <x:v>200</x:v>
      </x:c>
      <x:c r="G34" s="10" t="n">
        <x:f>(INT(A34*'参数'!$D$27)-INT((A34-1)*'参数'!$D$27))*'参数'!$D$55</x:f>
        <x:v>35</x:v>
      </x:c>
      <x:c r="H34" s="10" t="n">
        <x:f>'参数'!$D$31</x:f>
        <x:v>10</x:v>
      </x:c>
      <x:c r="I34" s="10" t="n">
        <x:f>(INT(A34*'参数'!$D$39/7)-INT((A34-1)*'参数'!$D$39/7))*'参数'!$D$59</x:f>
        <x:v>300</x:v>
      </x:c>
      <x:c r="J34" s="10" t="n">
        <x:f>IF(A34=30,4000,IF(A34=60,6000,IF(A34=90,9000,IF(MOD(A34,7)=0,'参数'!$D$43,0))))</x:f>
        <x:v>900</x:v>
      </x:c>
      <x:c r="K34" s="10" t="n">
        <x:f>IF(B34+C34-D34+E34-F34-G34-H34-I34-'参数'!$D$52&gt;=J34,J34,0)</x:f>
        <x:v>900</x:v>
      </x:c>
      <x:c r="L34" s="10" t="n">
        <x:f>B34+C34-D34+E34-F34-G34-H34-I34-K34</x:f>
        <x:v>7200</x:v>
      </x:c>
      <x:c r="M34" s="10" t="n">
        <x:f>IF(A34=1,'参数'!$D$64,0)+IF(MOD(A34,7)=0,'参数'!$D$62,0)+IF(MOD(A34,30)=0,'参数'!$D$63,0)</x:f>
        <x:v>60</x:v>
      </x:c>
      <x:c r="N34" s="10" t="n">
        <x:f>IF(OR(A34=1,A34=7),'参数'!$D$65/2,0)+IF(MOD(A34,7)=0,'参数'!$D$66,0)</x:f>
        <x:v>1</x:v>
      </x:c>
      <x:c r="O34" s="10" t="n">
        <x:f>N34+INT((P33+M34)/'参数'!$D$61)</x:f>
        <x:v>2</x:v>
      </x:c>
      <x:c r="P34" s="10" t="n">
        <x:f>P33+M34-(O34-N34)*'参数'!$D$61</x:f>
        <x:v>0</x:v>
      </x:c>
      <x:c r="Q34" s="10" t="n">
        <x:f>IF(OR(A34=1,A34=31,A34=61),'参数'!$D$70*'参数'!$D$60,0)</x:f>
        <x:v>0</x:v>
      </x:c>
      <x:c r="R34" s="10" t="n">
        <x:f>R33+Q34</x:f>
        <x:v>0</x:v>
      </x:c>
      <x:c r="S34" s="10" t="n">
        <x:f>S33+O34</x:f>
        <x:v>20</x:v>
      </x:c>
      <x:c r="T34" s="10" t="n">
        <x:f>O34*2+IF(MOD(A34,7)=0,'参数'!$D$68,0)+IF(A34=7,'参数'!$D$69,0)</x:f>
        <x:v>9</x:v>
      </x:c>
      <x:c r="U34" s="10" t="n">
        <x:f>IF(A34=90,160,0)</x:f>
        <x:v>0</x:v>
      </x:c>
      <x:c r="V34" s="10" t="n">
        <x:f>IF(W33+T34&gt;=U34,U34,0)</x:f>
        <x:v>0</x:v>
      </x:c>
      <x:c r="W34" s="10" t="n">
        <x:f>W33+T34-V34</x:f>
        <x:v>70</x:v>
      </x:c>
    </x:row>
    <x:row r="35" ht="48" customHeight="1">
      <x:c r="A35" s="9" t="n">
        <x:v>29</x:v>
      </x:c>
      <x:c r="B35" s="9" t="n">
        <x:f>L34</x:f>
        <x:v>7200</x:v>
      </x:c>
      <x:c r="C35" s="9" t="n">
        <x:f>'参数'!$D$7*'参数'!$D$11*'参数'!$D$15</x:f>
        <x:v>720</x:v>
      </x:c>
      <x:c r="D35" s="9" t="n">
        <x:f>'参数'!$D$7*'参数'!$D$19</x:f>
        <x:v>240</x:v>
      </x:c>
      <x:c r="E35" s="9" t="n">
        <x:f>'参数'!$D$23*'参数'!$D$53+IF(MOD(A35,7)=0,'参数'!$D$54,0)</x:f>
        <x:v>40</x:v>
      </x:c>
      <x:c r="F35" s="9" t="n">
        <x:f>(INT(A35*'参数'!$D$35/7)-INT((A35-1)*'参数'!$D$35/7))*IF(A35&lt;=30,'参数'!$D$56,IF(A35&lt;=60,'参数'!$D$57,'参数'!$D$58))+IF(A35=1,60,0)</x:f>
        <x:v>0</x:v>
      </x:c>
      <x:c r="G35" s="9" t="n">
        <x:f>(INT(A35*'参数'!$D$27)-INT((A35-1)*'参数'!$D$27))*'参数'!$D$55</x:f>
        <x:v>35</x:v>
      </x:c>
      <x:c r="H35" s="9" t="n">
        <x:f>'参数'!$D$31</x:f>
        <x:v>10</x:v>
      </x:c>
      <x:c r="I35" s="9" t="n">
        <x:f>(INT(A35*'参数'!$D$39/7)-INT((A35-1)*'参数'!$D$39/7))*'参数'!$D$59</x:f>
        <x:v>0</x:v>
      </x:c>
      <x:c r="J35" s="9" t="n">
        <x:f>IF(A35=30,4000,IF(A35=60,6000,IF(A35=90,9000,IF(MOD(A35,7)=0,'参数'!$D$43,0))))</x:f>
        <x:v>0</x:v>
      </x:c>
      <x:c r="K35" s="9" t="n">
        <x:f>IF(B35+C35-D35+E35-F35-G35-H35-I35-'参数'!$D$52&gt;=J35,J35,0)</x:f>
        <x:v>0</x:v>
      </x:c>
      <x:c r="L35" s="9" t="n">
        <x:f>B35+C35-D35+E35-F35-G35-H35-I35-K35</x:f>
        <x:v>7675</x:v>
      </x:c>
      <x:c r="M35" s="9" t="n">
        <x:f>IF(A35=1,'参数'!$D$64,0)+IF(MOD(A35,7)=0,'参数'!$D$62,0)+IF(MOD(A35,30)=0,'参数'!$D$63,0)</x:f>
        <x:v>0</x:v>
      </x:c>
      <x:c r="N35" s="9" t="n">
        <x:f>IF(OR(A35=1,A35=7),'参数'!$D$65/2,0)+IF(MOD(A35,7)=0,'参数'!$D$66,0)</x:f>
        <x:v>0</x:v>
      </x:c>
      <x:c r="O35" s="9" t="n">
        <x:f>N35+INT((P34+M35)/'参数'!$D$61)</x:f>
        <x:v>0</x:v>
      </x:c>
      <x:c r="P35" s="9" t="n">
        <x:f>P34+M35-(O35-N35)*'参数'!$D$61</x:f>
        <x:v>0</x:v>
      </x:c>
      <x:c r="Q35" s="9" t="n">
        <x:f>IF(OR(A35=1,A35=31,A35=61),'参数'!$D$70*'参数'!$D$60,0)</x:f>
        <x:v>0</x:v>
      </x:c>
      <x:c r="R35" s="9" t="n">
        <x:f>R34+Q35</x:f>
        <x:v>0</x:v>
      </x:c>
      <x:c r="S35" s="9" t="n">
        <x:f>S34+O35</x:f>
        <x:v>20</x:v>
      </x:c>
      <x:c r="T35" s="9" t="n">
        <x:f>O35*2+IF(MOD(A35,7)=0,'参数'!$D$68,0)+IF(A35=7,'参数'!$D$69,0)</x:f>
        <x:v>0</x:v>
      </x:c>
      <x:c r="U35" s="9" t="n">
        <x:f>IF(A35=90,160,0)</x:f>
        <x:v>0</x:v>
      </x:c>
      <x:c r="V35" s="9" t="n">
        <x:f>IF(W34+T35&gt;=U35,U35,0)</x:f>
        <x:v>0</x:v>
      </x:c>
      <x:c r="W35" s="9" t="n">
        <x:f>W34+T35-V35</x:f>
        <x:v>70</x:v>
      </x:c>
    </x:row>
    <x:row r="36" ht="48" customHeight="1">
      <x:c r="A36" s="10" t="n">
        <x:v>30</x:v>
      </x:c>
      <x:c r="B36" s="10" t="n">
        <x:f>L35</x:f>
        <x:v>7675</x:v>
      </x:c>
      <x:c r="C36" s="10" t="n">
        <x:f>'参数'!$D$7*'参数'!$D$11*'参数'!$D$15</x:f>
        <x:v>720</x:v>
      </x:c>
      <x:c r="D36" s="10" t="n">
        <x:f>'参数'!$D$7*'参数'!$D$19</x:f>
        <x:v>240</x:v>
      </x:c>
      <x:c r="E36" s="10" t="n">
        <x:f>'参数'!$D$23*'参数'!$D$53+IF(MOD(A36,7)=0,'参数'!$D$54,0)</x:f>
        <x:v>40</x:v>
      </x:c>
      <x:c r="F36" s="10" t="n">
        <x:f>(INT(A36*'参数'!$D$35/7)-INT((A36-1)*'参数'!$D$35/7))*IF(A36&lt;=30,'参数'!$D$56,IF(A36&lt;=60,'参数'!$D$57,'参数'!$D$58))+IF(A36=1,60,0)</x:f>
        <x:v>0</x:v>
      </x:c>
      <x:c r="G36" s="10" t="n">
        <x:f>(INT(A36*'参数'!$D$27)-INT((A36-1)*'参数'!$D$27))*'参数'!$D$55</x:f>
        <x:v>35</x:v>
      </x:c>
      <x:c r="H36" s="10" t="n">
        <x:f>'参数'!$D$31</x:f>
        <x:v>10</x:v>
      </x:c>
      <x:c r="I36" s="10" t="n">
        <x:f>(INT(A36*'参数'!$D$39/7)-INT((A36-1)*'参数'!$D$39/7))*'参数'!$D$59</x:f>
        <x:v>0</x:v>
      </x:c>
      <x:c r="J36" s="10" t="n">
        <x:f>IF(A36=30,4000,IF(A36=60,6000,IF(A36=90,9000,IF(MOD(A36,7)=0,'参数'!$D$43,0))))</x:f>
        <x:v>4000</x:v>
      </x:c>
      <x:c r="K36" s="10" t="n">
        <x:f>IF(B36+C36-D36+E36-F36-G36-H36-I36-'参数'!$D$52&gt;=J36,J36,0)</x:f>
        <x:v>4000</x:v>
      </x:c>
      <x:c r="L36" s="10" t="n">
        <x:f>B36+C36-D36+E36-F36-G36-H36-I36-K36</x:f>
        <x:v>4150</x:v>
      </x:c>
      <x:c r="M36" s="10" t="n">
        <x:f>IF(A36=1,'参数'!$D$64,0)+IF(MOD(A36,7)=0,'参数'!$D$62,0)+IF(MOD(A36,30)=0,'参数'!$D$63,0)</x:f>
        <x:v>60</x:v>
      </x:c>
      <x:c r="N36" s="10" t="n">
        <x:f>IF(OR(A36=1,A36=7),'参数'!$D$65/2,0)+IF(MOD(A36,7)=0,'参数'!$D$66,0)</x:f>
        <x:v>0</x:v>
      </x:c>
      <x:c r="O36" s="10" t="n">
        <x:f>N36+INT((P35+M36)/'参数'!$D$61)</x:f>
        <x:v>1</x:v>
      </x:c>
      <x:c r="P36" s="10" t="n">
        <x:f>P35+M36-(O36-N36)*'参数'!$D$61</x:f>
        <x:v>0</x:v>
      </x:c>
      <x:c r="Q36" s="10" t="n">
        <x:f>IF(OR(A36=1,A36=31,A36=61),'参数'!$D$70*'参数'!$D$60,0)</x:f>
        <x:v>0</x:v>
      </x:c>
      <x:c r="R36" s="10" t="n">
        <x:f>R35+Q36</x:f>
        <x:v>0</x:v>
      </x:c>
      <x:c r="S36" s="10" t="n">
        <x:f>S35+O36</x:f>
        <x:v>21</x:v>
      </x:c>
      <x:c r="T36" s="10" t="n">
        <x:f>O36*2+IF(MOD(A36,7)=0,'参数'!$D$68,0)+IF(A36=7,'参数'!$D$69,0)</x:f>
        <x:v>2</x:v>
      </x:c>
      <x:c r="U36" s="10" t="n">
        <x:f>IF(A36=90,160,0)</x:f>
        <x:v>0</x:v>
      </x:c>
      <x:c r="V36" s="10" t="n">
        <x:f>IF(W35+T36&gt;=U36,U36,0)</x:f>
        <x:v>0</x:v>
      </x:c>
      <x:c r="W36" s="10" t="n">
        <x:f>W35+T36-V36</x:f>
        <x:v>72</x:v>
      </x:c>
    </x:row>
    <x:row r="37" ht="48" customHeight="1">
      <x:c r="A37" s="9" t="n">
        <x:v>31</x:v>
      </x:c>
      <x:c r="B37" s="9" t="n">
        <x:f>L36</x:f>
        <x:v>4150</x:v>
      </x:c>
      <x:c r="C37" s="9" t="n">
        <x:f>'参数'!$D$7*'参数'!$D$11*'参数'!$D$15</x:f>
        <x:v>720</x:v>
      </x:c>
      <x:c r="D37" s="9" t="n">
        <x:f>'参数'!$D$7*'参数'!$D$19</x:f>
        <x:v>240</x:v>
      </x:c>
      <x:c r="E37" s="9" t="n">
        <x:f>'参数'!$D$23*'参数'!$D$53+IF(MOD(A37,7)=0,'参数'!$D$54,0)</x:f>
        <x:v>40</x:v>
      </x:c>
      <x:c r="F37" s="9" t="n">
        <x:f>(INT(A37*'参数'!$D$35/7)-INT((A37-1)*'参数'!$D$35/7))*IF(A37&lt;=30,'参数'!$D$56,IF(A37&lt;=60,'参数'!$D$57,'参数'!$D$58))+IF(A37=1,60,0)</x:f>
        <x:v>360</x:v>
      </x:c>
      <x:c r="G37" s="9" t="n">
        <x:f>(INT(A37*'参数'!$D$27)-INT((A37-1)*'参数'!$D$27))*'参数'!$D$55</x:f>
        <x:v>35</x:v>
      </x:c>
      <x:c r="H37" s="9" t="n">
        <x:f>'参数'!$D$31</x:f>
        <x:v>10</x:v>
      </x:c>
      <x:c r="I37" s="9" t="n">
        <x:f>(INT(A37*'参数'!$D$39/7)-INT((A37-1)*'参数'!$D$39/7))*'参数'!$D$59</x:f>
        <x:v>0</x:v>
      </x:c>
      <x:c r="J37" s="9" t="n">
        <x:f>IF(A37=30,4000,IF(A37=60,6000,IF(A37=90,9000,IF(MOD(A37,7)=0,'参数'!$D$43,0))))</x:f>
        <x:v>0</x:v>
      </x:c>
      <x:c r="K37" s="9" t="n">
        <x:f>IF(B37+C37-D37+E37-F37-G37-H37-I37-'参数'!$D$52&gt;=J37,J37,0)</x:f>
        <x:v>0</x:v>
      </x:c>
      <x:c r="L37" s="9" t="n">
        <x:f>B37+C37-D37+E37-F37-G37-H37-I37-K37</x:f>
        <x:v>4265</x:v>
      </x:c>
      <x:c r="M37" s="9" t="n">
        <x:f>IF(A37=1,'参数'!$D$64,0)+IF(MOD(A37,7)=0,'参数'!$D$62,0)+IF(MOD(A37,30)=0,'参数'!$D$63,0)</x:f>
        <x:v>0</x:v>
      </x:c>
      <x:c r="N37" s="9" t="n">
        <x:f>IF(OR(A37=1,A37=7),'参数'!$D$65/2,0)+IF(MOD(A37,7)=0,'参数'!$D$66,0)</x:f>
        <x:v>0</x:v>
      </x:c>
      <x:c r="O37" s="9" t="n">
        <x:f>N37+INT((P36+M37)/'参数'!$D$61)</x:f>
        <x:v>0</x:v>
      </x:c>
      <x:c r="P37" s="9" t="n">
        <x:f>P36+M37-(O37-N37)*'参数'!$D$61</x:f>
        <x:v>0</x:v>
      </x:c>
      <x:c r="Q37" s="9" t="n">
        <x:f>IF(OR(A37=1,A37=31,A37=61),'参数'!$D$70*'参数'!$D$60,0)</x:f>
        <x:v>0</x:v>
      </x:c>
      <x:c r="R37" s="9" t="n">
        <x:f>R36+Q37</x:f>
        <x:v>0</x:v>
      </x:c>
      <x:c r="S37" s="9" t="n">
        <x:f>S36+O37</x:f>
        <x:v>21</x:v>
      </x:c>
      <x:c r="T37" s="9" t="n">
        <x:f>O37*2+IF(MOD(A37,7)=0,'参数'!$D$68,0)+IF(A37=7,'参数'!$D$69,0)</x:f>
        <x:v>0</x:v>
      </x:c>
      <x:c r="U37" s="9" t="n">
        <x:f>IF(A37=90,160,0)</x:f>
        <x:v>0</x:v>
      </x:c>
      <x:c r="V37" s="9" t="n">
        <x:f>IF(W36+T37&gt;=U37,U37,0)</x:f>
        <x:v>0</x:v>
      </x:c>
      <x:c r="W37" s="9" t="n">
        <x:f>W36+T37-V37</x:f>
        <x:v>72</x:v>
      </x:c>
    </x:row>
    <x:row r="38" ht="48" customHeight="1">
      <x:c r="A38" s="10" t="n">
        <x:v>32</x:v>
      </x:c>
      <x:c r="B38" s="10" t="n">
        <x:f>L37</x:f>
        <x:v>4265</x:v>
      </x:c>
      <x:c r="C38" s="10" t="n">
        <x:f>'参数'!$D$7*'参数'!$D$11*'参数'!$D$15</x:f>
        <x:v>720</x:v>
      </x:c>
      <x:c r="D38" s="10" t="n">
        <x:f>'参数'!$D$7*'参数'!$D$19</x:f>
        <x:v>240</x:v>
      </x:c>
      <x:c r="E38" s="10" t="n">
        <x:f>'参数'!$D$23*'参数'!$D$53+IF(MOD(A38,7)=0,'参数'!$D$54,0)</x:f>
        <x:v>40</x:v>
      </x:c>
      <x:c r="F38" s="10" t="n">
        <x:f>(INT(A38*'参数'!$D$35/7)-INT((A38-1)*'参数'!$D$35/7))*IF(A38&lt;=30,'参数'!$D$56,IF(A38&lt;=60,'参数'!$D$57,'参数'!$D$58))+IF(A38=1,60,0)</x:f>
        <x:v>0</x:v>
      </x:c>
      <x:c r="G38" s="10" t="n">
        <x:f>(INT(A38*'参数'!$D$27)-INT((A38-1)*'参数'!$D$27))*'参数'!$D$55</x:f>
        <x:v>35</x:v>
      </x:c>
      <x:c r="H38" s="10" t="n">
        <x:f>'参数'!$D$31</x:f>
        <x:v>10</x:v>
      </x:c>
      <x:c r="I38" s="10" t="n">
        <x:f>(INT(A38*'参数'!$D$39/7)-INT((A38-1)*'参数'!$D$39/7))*'参数'!$D$59</x:f>
        <x:v>0</x:v>
      </x:c>
      <x:c r="J38" s="10" t="n">
        <x:f>IF(A38=30,4000,IF(A38=60,6000,IF(A38=90,9000,IF(MOD(A38,7)=0,'参数'!$D$43,0))))</x:f>
        <x:v>0</x:v>
      </x:c>
      <x:c r="K38" s="10" t="n">
        <x:f>IF(B38+C38-D38+E38-F38-G38-H38-I38-'参数'!$D$52&gt;=J38,J38,0)</x:f>
        <x:v>0</x:v>
      </x:c>
      <x:c r="L38" s="10" t="n">
        <x:f>B38+C38-D38+E38-F38-G38-H38-I38-K38</x:f>
        <x:v>4740</x:v>
      </x:c>
      <x:c r="M38" s="10" t="n">
        <x:f>IF(A38=1,'参数'!$D$64,0)+IF(MOD(A38,7)=0,'参数'!$D$62,0)+IF(MOD(A38,30)=0,'参数'!$D$63,0)</x:f>
        <x:v>0</x:v>
      </x:c>
      <x:c r="N38" s="10" t="n">
        <x:f>IF(OR(A38=1,A38=7),'参数'!$D$65/2,0)+IF(MOD(A38,7)=0,'参数'!$D$66,0)</x:f>
        <x:v>0</x:v>
      </x:c>
      <x:c r="O38" s="10" t="n">
        <x:f>N38+INT((P37+M38)/'参数'!$D$61)</x:f>
        <x:v>0</x:v>
      </x:c>
      <x:c r="P38" s="10" t="n">
        <x:f>P37+M38-(O38-N38)*'参数'!$D$61</x:f>
        <x:v>0</x:v>
      </x:c>
      <x:c r="Q38" s="10" t="n">
        <x:f>IF(OR(A38=1,A38=31,A38=61),'参数'!$D$70*'参数'!$D$60,0)</x:f>
        <x:v>0</x:v>
      </x:c>
      <x:c r="R38" s="10" t="n">
        <x:f>R37+Q38</x:f>
        <x:v>0</x:v>
      </x:c>
      <x:c r="S38" s="10" t="n">
        <x:f>S37+O38</x:f>
        <x:v>21</x:v>
      </x:c>
      <x:c r="T38" s="10" t="n">
        <x:f>O38*2+IF(MOD(A38,7)=0,'参数'!$D$68,0)+IF(A38=7,'参数'!$D$69,0)</x:f>
        <x:v>0</x:v>
      </x:c>
      <x:c r="U38" s="10" t="n">
        <x:f>IF(A38=90,160,0)</x:f>
        <x:v>0</x:v>
      </x:c>
      <x:c r="V38" s="10" t="n">
        <x:f>IF(W37+T38&gt;=U38,U38,0)</x:f>
        <x:v>0</x:v>
      </x:c>
      <x:c r="W38" s="10" t="n">
        <x:f>W37+T38-V38</x:f>
        <x:v>72</x:v>
      </x:c>
    </x:row>
    <x:row r="39" ht="48" customHeight="1">
      <x:c r="A39" s="9" t="n">
        <x:v>33</x:v>
      </x:c>
      <x:c r="B39" s="9" t="n">
        <x:f>L38</x:f>
        <x:v>4740</x:v>
      </x:c>
      <x:c r="C39" s="9" t="n">
        <x:f>'参数'!$D$7*'参数'!$D$11*'参数'!$D$15</x:f>
        <x:v>720</x:v>
      </x:c>
      <x:c r="D39" s="9" t="n">
        <x:f>'参数'!$D$7*'参数'!$D$19</x:f>
        <x:v>240</x:v>
      </x:c>
      <x:c r="E39" s="9" t="n">
        <x:f>'参数'!$D$23*'参数'!$D$53+IF(MOD(A39,7)=0,'参数'!$D$54,0)</x:f>
        <x:v>40</x:v>
      </x:c>
      <x:c r="F39" s="9" t="n">
        <x:f>(INT(A39*'参数'!$D$35/7)-INT((A39-1)*'参数'!$D$35/7))*IF(A39&lt;=30,'参数'!$D$56,IF(A39&lt;=60,'参数'!$D$57,'参数'!$D$58))+IF(A39=1,60,0)</x:f>
        <x:v>360</x:v>
      </x:c>
      <x:c r="G39" s="9" t="n">
        <x:f>(INT(A39*'参数'!$D$27)-INT((A39-1)*'参数'!$D$27))*'参数'!$D$55</x:f>
        <x:v>35</x:v>
      </x:c>
      <x:c r="H39" s="9" t="n">
        <x:f>'参数'!$D$31</x:f>
        <x:v>10</x:v>
      </x:c>
      <x:c r="I39" s="9" t="n">
        <x:f>(INT(A39*'参数'!$D$39/7)-INT((A39-1)*'参数'!$D$39/7))*'参数'!$D$59</x:f>
        <x:v>0</x:v>
      </x:c>
      <x:c r="J39" s="9" t="n">
        <x:f>IF(A39=30,4000,IF(A39=60,6000,IF(A39=90,9000,IF(MOD(A39,7)=0,'参数'!$D$43,0))))</x:f>
        <x:v>0</x:v>
      </x:c>
      <x:c r="K39" s="9" t="n">
        <x:f>IF(B39+C39-D39+E39-F39-G39-H39-I39-'参数'!$D$52&gt;=J39,J39,0)</x:f>
        <x:v>0</x:v>
      </x:c>
      <x:c r="L39" s="9" t="n">
        <x:f>B39+C39-D39+E39-F39-G39-H39-I39-K39</x:f>
        <x:v>4855</x:v>
      </x:c>
      <x:c r="M39" s="9" t="n">
        <x:f>IF(A39=1,'参数'!$D$64,0)+IF(MOD(A39,7)=0,'参数'!$D$62,0)+IF(MOD(A39,30)=0,'参数'!$D$63,0)</x:f>
        <x:v>0</x:v>
      </x:c>
      <x:c r="N39" s="9" t="n">
        <x:f>IF(OR(A39=1,A39=7),'参数'!$D$65/2,0)+IF(MOD(A39,7)=0,'参数'!$D$66,0)</x:f>
        <x:v>0</x:v>
      </x:c>
      <x:c r="O39" s="9" t="n">
        <x:f>N39+INT((P38+M39)/'参数'!$D$61)</x:f>
        <x:v>0</x:v>
      </x:c>
      <x:c r="P39" s="9" t="n">
        <x:f>P38+M39-(O39-N39)*'参数'!$D$61</x:f>
        <x:v>0</x:v>
      </x:c>
      <x:c r="Q39" s="9" t="n">
        <x:f>IF(OR(A39=1,A39=31,A39=61),'参数'!$D$70*'参数'!$D$60,0)</x:f>
        <x:v>0</x:v>
      </x:c>
      <x:c r="R39" s="9" t="n">
        <x:f>R38+Q39</x:f>
        <x:v>0</x:v>
      </x:c>
      <x:c r="S39" s="9" t="n">
        <x:f>S38+O39</x:f>
        <x:v>21</x:v>
      </x:c>
      <x:c r="T39" s="9" t="n">
        <x:f>O39*2+IF(MOD(A39,7)=0,'参数'!$D$68,0)+IF(A39=7,'参数'!$D$69,0)</x:f>
        <x:v>0</x:v>
      </x:c>
      <x:c r="U39" s="9" t="n">
        <x:f>IF(A39=90,160,0)</x:f>
        <x:v>0</x:v>
      </x:c>
      <x:c r="V39" s="9" t="n">
        <x:f>IF(W38+T39&gt;=U39,U39,0)</x:f>
        <x:v>0</x:v>
      </x:c>
      <x:c r="W39" s="9" t="n">
        <x:f>W38+T39-V39</x:f>
        <x:v>72</x:v>
      </x:c>
    </x:row>
    <x:row r="40" ht="48" customHeight="1">
      <x:c r="A40" s="10" t="n">
        <x:v>34</x:v>
      </x:c>
      <x:c r="B40" s="10" t="n">
        <x:f>L39</x:f>
        <x:v>4855</x:v>
      </x:c>
      <x:c r="C40" s="10" t="n">
        <x:f>'参数'!$D$7*'参数'!$D$11*'参数'!$D$15</x:f>
        <x:v>720</x:v>
      </x:c>
      <x:c r="D40" s="10" t="n">
        <x:f>'参数'!$D$7*'参数'!$D$19</x:f>
        <x:v>240</x:v>
      </x:c>
      <x:c r="E40" s="10" t="n">
        <x:f>'参数'!$D$23*'参数'!$D$53+IF(MOD(A40,7)=0,'参数'!$D$54,0)</x:f>
        <x:v>40</x:v>
      </x:c>
      <x:c r="F40" s="10" t="n">
        <x:f>(INT(A40*'参数'!$D$35/7)-INT((A40-1)*'参数'!$D$35/7))*IF(A40&lt;=30,'参数'!$D$56,IF(A40&lt;=60,'参数'!$D$57,'参数'!$D$58))+IF(A40=1,60,0)</x:f>
        <x:v>0</x:v>
      </x:c>
      <x:c r="G40" s="10" t="n">
        <x:f>(INT(A40*'参数'!$D$27)-INT((A40-1)*'参数'!$D$27))*'参数'!$D$55</x:f>
        <x:v>35</x:v>
      </x:c>
      <x:c r="H40" s="10" t="n">
        <x:f>'参数'!$D$31</x:f>
        <x:v>10</x:v>
      </x:c>
      <x:c r="I40" s="10" t="n">
        <x:f>(INT(A40*'参数'!$D$39/7)-INT((A40-1)*'参数'!$D$39/7))*'参数'!$D$59</x:f>
        <x:v>0</x:v>
      </x:c>
      <x:c r="J40" s="10" t="n">
        <x:f>IF(A40=30,4000,IF(A40=60,6000,IF(A40=90,9000,IF(MOD(A40,7)=0,'参数'!$D$43,0))))</x:f>
        <x:v>0</x:v>
      </x:c>
      <x:c r="K40" s="10" t="n">
        <x:f>IF(B40+C40-D40+E40-F40-G40-H40-I40-'参数'!$D$52&gt;=J40,J40,0)</x:f>
        <x:v>0</x:v>
      </x:c>
      <x:c r="L40" s="10" t="n">
        <x:f>B40+C40-D40+E40-F40-G40-H40-I40-K40</x:f>
        <x:v>5330</x:v>
      </x:c>
      <x:c r="M40" s="10" t="n">
        <x:f>IF(A40=1,'参数'!$D$64,0)+IF(MOD(A40,7)=0,'参数'!$D$62,0)+IF(MOD(A40,30)=0,'参数'!$D$63,0)</x:f>
        <x:v>0</x:v>
      </x:c>
      <x:c r="N40" s="10" t="n">
        <x:f>IF(OR(A40=1,A40=7),'参数'!$D$65/2,0)+IF(MOD(A40,7)=0,'参数'!$D$66,0)</x:f>
        <x:v>0</x:v>
      </x:c>
      <x:c r="O40" s="10" t="n">
        <x:f>N40+INT((P39+M40)/'参数'!$D$61)</x:f>
        <x:v>0</x:v>
      </x:c>
      <x:c r="P40" s="10" t="n">
        <x:f>P39+M40-(O40-N40)*'参数'!$D$61</x:f>
        <x:v>0</x:v>
      </x:c>
      <x:c r="Q40" s="10" t="n">
        <x:f>IF(OR(A40=1,A40=31,A40=61),'参数'!$D$70*'参数'!$D$60,0)</x:f>
        <x:v>0</x:v>
      </x:c>
      <x:c r="R40" s="10" t="n">
        <x:f>R39+Q40</x:f>
        <x:v>0</x:v>
      </x:c>
      <x:c r="S40" s="10" t="n">
        <x:f>S39+O40</x:f>
        <x:v>21</x:v>
      </x:c>
      <x:c r="T40" s="10" t="n">
        <x:f>O40*2+IF(MOD(A40,7)=0,'参数'!$D$68,0)+IF(A40=7,'参数'!$D$69,0)</x:f>
        <x:v>0</x:v>
      </x:c>
      <x:c r="U40" s="10" t="n">
        <x:f>IF(A40=90,160,0)</x:f>
        <x:v>0</x:v>
      </x:c>
      <x:c r="V40" s="10" t="n">
        <x:f>IF(W39+T40&gt;=U40,U40,0)</x:f>
        <x:v>0</x:v>
      </x:c>
      <x:c r="W40" s="10" t="n">
        <x:f>W39+T40-V40</x:f>
        <x:v>72</x:v>
      </x:c>
    </x:row>
    <x:row r="41" ht="48" customHeight="1">
      <x:c r="A41" s="9" t="n">
        <x:v>35</x:v>
      </x:c>
      <x:c r="B41" s="9" t="n">
        <x:f>L40</x:f>
        <x:v>5330</x:v>
      </x:c>
      <x:c r="C41" s="9" t="n">
        <x:f>'参数'!$D$7*'参数'!$D$11*'参数'!$D$15</x:f>
        <x:v>720</x:v>
      </x:c>
      <x:c r="D41" s="9" t="n">
        <x:f>'参数'!$D$7*'参数'!$D$19</x:f>
        <x:v>240</x:v>
      </x:c>
      <x:c r="E41" s="9" t="n">
        <x:f>'参数'!$D$23*'参数'!$D$53+IF(MOD(A41,7)=0,'参数'!$D$54,0)</x:f>
        <x:v>180</x:v>
      </x:c>
      <x:c r="F41" s="9" t="n">
        <x:f>(INT(A41*'参数'!$D$35/7)-INT((A41-1)*'参数'!$D$35/7))*IF(A41&lt;=30,'参数'!$D$56,IF(A41&lt;=60,'参数'!$D$57,'参数'!$D$58))+IF(A41=1,60,0)</x:f>
        <x:v>360</x:v>
      </x:c>
      <x:c r="G41" s="9" t="n">
        <x:f>(INT(A41*'参数'!$D$27)-INT((A41-1)*'参数'!$D$27))*'参数'!$D$55</x:f>
        <x:v>35</x:v>
      </x:c>
      <x:c r="H41" s="9" t="n">
        <x:f>'参数'!$D$31</x:f>
        <x:v>10</x:v>
      </x:c>
      <x:c r="I41" s="9" t="n">
        <x:f>(INT(A41*'参数'!$D$39/7)-INT((A41-1)*'参数'!$D$39/7))*'参数'!$D$59</x:f>
        <x:v>300</x:v>
      </x:c>
      <x:c r="J41" s="9" t="n">
        <x:f>IF(A41=30,4000,IF(A41=60,6000,IF(A41=90,9000,IF(MOD(A41,7)=0,'参数'!$D$43,0))))</x:f>
        <x:v>900</x:v>
      </x:c>
      <x:c r="K41" s="9" t="n">
        <x:f>IF(B41+C41-D41+E41-F41-G41-H41-I41-'参数'!$D$52&gt;=J41,J41,0)</x:f>
        <x:v>900</x:v>
      </x:c>
      <x:c r="L41" s="9" t="n">
        <x:f>B41+C41-D41+E41-F41-G41-H41-I41-K41</x:f>
        <x:v>4385</x:v>
      </x:c>
      <x:c r="M41" s="9" t="n">
        <x:f>IF(A41=1,'参数'!$D$64,0)+IF(MOD(A41,7)=0,'参数'!$D$62,0)+IF(MOD(A41,30)=0,'参数'!$D$63,0)</x:f>
        <x:v>60</x:v>
      </x:c>
      <x:c r="N41" s="9" t="n">
        <x:f>IF(OR(A41=1,A41=7),'参数'!$D$65/2,0)+IF(MOD(A41,7)=0,'参数'!$D$66,0)</x:f>
        <x:v>1</x:v>
      </x:c>
      <x:c r="O41" s="9" t="n">
        <x:f>N41+INT((P40+M41)/'参数'!$D$61)</x:f>
        <x:v>2</x:v>
      </x:c>
      <x:c r="P41" s="9" t="n">
        <x:f>P40+M41-(O41-N41)*'参数'!$D$61</x:f>
        <x:v>0</x:v>
      </x:c>
      <x:c r="Q41" s="9" t="n">
        <x:f>IF(OR(A41=1,A41=31,A41=61),'参数'!$D$70*'参数'!$D$60,0)</x:f>
        <x:v>0</x:v>
      </x:c>
      <x:c r="R41" s="9" t="n">
        <x:f>R40+Q41</x:f>
        <x:v>0</x:v>
      </x:c>
      <x:c r="S41" s="9" t="n">
        <x:f>S40+O41</x:f>
        <x:v>23</x:v>
      </x:c>
      <x:c r="T41" s="9" t="n">
        <x:f>O41*2+IF(MOD(A41,7)=0,'参数'!$D$68,0)+IF(A41=7,'参数'!$D$69,0)</x:f>
        <x:v>9</x:v>
      </x:c>
      <x:c r="U41" s="9" t="n">
        <x:f>IF(A41=90,160,0)</x:f>
        <x:v>0</x:v>
      </x:c>
      <x:c r="V41" s="9" t="n">
        <x:f>IF(W40+T41&gt;=U41,U41,0)</x:f>
        <x:v>0</x:v>
      </x:c>
      <x:c r="W41" s="9" t="n">
        <x:f>W40+T41-V41</x:f>
        <x:v>81</x:v>
      </x:c>
    </x:row>
    <x:row r="42" ht="48" customHeight="1">
      <x:c r="A42" s="10" t="n">
        <x:v>36</x:v>
      </x:c>
      <x:c r="B42" s="10" t="n">
        <x:f>L41</x:f>
        <x:v>4385</x:v>
      </x:c>
      <x:c r="C42" s="10" t="n">
        <x:f>'参数'!$D$7*'参数'!$D$11*'参数'!$D$15</x:f>
        <x:v>720</x:v>
      </x:c>
      <x:c r="D42" s="10" t="n">
        <x:f>'参数'!$D$7*'参数'!$D$19</x:f>
        <x:v>240</x:v>
      </x:c>
      <x:c r="E42" s="10" t="n">
        <x:f>'参数'!$D$23*'参数'!$D$53+IF(MOD(A42,7)=0,'参数'!$D$54,0)</x:f>
        <x:v>40</x:v>
      </x:c>
      <x:c r="F42" s="10" t="n">
        <x:f>(INT(A42*'参数'!$D$35/7)-INT((A42-1)*'参数'!$D$35/7))*IF(A42&lt;=30,'参数'!$D$56,IF(A42&lt;=60,'参数'!$D$57,'参数'!$D$58))+IF(A42=1,60,0)</x:f>
        <x:v>0</x:v>
      </x:c>
      <x:c r="G42" s="10" t="n">
        <x:f>(INT(A42*'参数'!$D$27)-INT((A42-1)*'参数'!$D$27))*'参数'!$D$55</x:f>
        <x:v>35</x:v>
      </x:c>
      <x:c r="H42" s="10" t="n">
        <x:f>'参数'!$D$31</x:f>
        <x:v>10</x:v>
      </x:c>
      <x:c r="I42" s="10" t="n">
        <x:f>(INT(A42*'参数'!$D$39/7)-INT((A42-1)*'参数'!$D$39/7))*'参数'!$D$59</x:f>
        <x:v>0</x:v>
      </x:c>
      <x:c r="J42" s="10" t="n">
        <x:f>IF(A42=30,4000,IF(A42=60,6000,IF(A42=90,9000,IF(MOD(A42,7)=0,'参数'!$D$43,0))))</x:f>
        <x:v>0</x:v>
      </x:c>
      <x:c r="K42" s="10" t="n">
        <x:f>IF(B42+C42-D42+E42-F42-G42-H42-I42-'参数'!$D$52&gt;=J42,J42,0)</x:f>
        <x:v>0</x:v>
      </x:c>
      <x:c r="L42" s="10" t="n">
        <x:f>B42+C42-D42+E42-F42-G42-H42-I42-K42</x:f>
        <x:v>4860</x:v>
      </x:c>
      <x:c r="M42" s="10" t="n">
        <x:f>IF(A42=1,'参数'!$D$64,0)+IF(MOD(A42,7)=0,'参数'!$D$62,0)+IF(MOD(A42,30)=0,'参数'!$D$63,0)</x:f>
        <x:v>0</x:v>
      </x:c>
      <x:c r="N42" s="10" t="n">
        <x:f>IF(OR(A42=1,A42=7),'参数'!$D$65/2,0)+IF(MOD(A42,7)=0,'参数'!$D$66,0)</x:f>
        <x:v>0</x:v>
      </x:c>
      <x:c r="O42" s="10" t="n">
        <x:f>N42+INT((P41+M42)/'参数'!$D$61)</x:f>
        <x:v>0</x:v>
      </x:c>
      <x:c r="P42" s="10" t="n">
        <x:f>P41+M42-(O42-N42)*'参数'!$D$61</x:f>
        <x:v>0</x:v>
      </x:c>
      <x:c r="Q42" s="10" t="n">
        <x:f>IF(OR(A42=1,A42=31,A42=61),'参数'!$D$70*'参数'!$D$60,0)</x:f>
        <x:v>0</x:v>
      </x:c>
      <x:c r="R42" s="10" t="n">
        <x:f>R41+Q42</x:f>
        <x:v>0</x:v>
      </x:c>
      <x:c r="S42" s="10" t="n">
        <x:f>S41+O42</x:f>
        <x:v>23</x:v>
      </x:c>
      <x:c r="T42" s="10" t="n">
        <x:f>O42*2+IF(MOD(A42,7)=0,'参数'!$D$68,0)+IF(A42=7,'参数'!$D$69,0)</x:f>
        <x:v>0</x:v>
      </x:c>
      <x:c r="U42" s="10" t="n">
        <x:f>IF(A42=90,160,0)</x:f>
        <x:v>0</x:v>
      </x:c>
      <x:c r="V42" s="10" t="n">
        <x:f>IF(W41+T42&gt;=U42,U42,0)</x:f>
        <x:v>0</x:v>
      </x:c>
      <x:c r="W42" s="10" t="n">
        <x:f>W41+T42-V42</x:f>
        <x:v>81</x:v>
      </x:c>
    </x:row>
    <x:row r="43" ht="48" customHeight="1">
      <x:c r="A43" s="9" t="n">
        <x:v>37</x:v>
      </x:c>
      <x:c r="B43" s="9" t="n">
        <x:f>L42</x:f>
        <x:v>4860</x:v>
      </x:c>
      <x:c r="C43" s="9" t="n">
        <x:f>'参数'!$D$7*'参数'!$D$11*'参数'!$D$15</x:f>
        <x:v>720</x:v>
      </x:c>
      <x:c r="D43" s="9" t="n">
        <x:f>'参数'!$D$7*'参数'!$D$19</x:f>
        <x:v>240</x:v>
      </x:c>
      <x:c r="E43" s="9" t="n">
        <x:f>'参数'!$D$23*'参数'!$D$53+IF(MOD(A43,7)=0,'参数'!$D$54,0)</x:f>
        <x:v>40</x:v>
      </x:c>
      <x:c r="F43" s="9" t="n">
        <x:f>(INT(A43*'参数'!$D$35/7)-INT((A43-1)*'参数'!$D$35/7))*IF(A43&lt;=30,'参数'!$D$56,IF(A43&lt;=60,'参数'!$D$57,'参数'!$D$58))+IF(A43=1,60,0)</x:f>
        <x:v>0</x:v>
      </x:c>
      <x:c r="G43" s="9" t="n">
        <x:f>(INT(A43*'参数'!$D$27)-INT((A43-1)*'参数'!$D$27))*'参数'!$D$55</x:f>
        <x:v>35</x:v>
      </x:c>
      <x:c r="H43" s="9" t="n">
        <x:f>'参数'!$D$31</x:f>
        <x:v>10</x:v>
      </x:c>
      <x:c r="I43" s="9" t="n">
        <x:f>(INT(A43*'参数'!$D$39/7)-INT((A43-1)*'参数'!$D$39/7))*'参数'!$D$59</x:f>
        <x:v>0</x:v>
      </x:c>
      <x:c r="J43" s="9" t="n">
        <x:f>IF(A43=30,4000,IF(A43=60,6000,IF(A43=90,9000,IF(MOD(A43,7)=0,'参数'!$D$43,0))))</x:f>
        <x:v>0</x:v>
      </x:c>
      <x:c r="K43" s="9" t="n">
        <x:f>IF(B43+C43-D43+E43-F43-G43-H43-I43-'参数'!$D$52&gt;=J43,J43,0)</x:f>
        <x:v>0</x:v>
      </x:c>
      <x:c r="L43" s="9" t="n">
        <x:f>B43+C43-D43+E43-F43-G43-H43-I43-K43</x:f>
        <x:v>5335</x:v>
      </x:c>
      <x:c r="M43" s="9" t="n">
        <x:f>IF(A43=1,'参数'!$D$64,0)+IF(MOD(A43,7)=0,'参数'!$D$62,0)+IF(MOD(A43,30)=0,'参数'!$D$63,0)</x:f>
        <x:v>0</x:v>
      </x:c>
      <x:c r="N43" s="9" t="n">
        <x:f>IF(OR(A43=1,A43=7),'参数'!$D$65/2,0)+IF(MOD(A43,7)=0,'参数'!$D$66,0)</x:f>
        <x:v>0</x:v>
      </x:c>
      <x:c r="O43" s="9" t="n">
        <x:f>N43+INT((P42+M43)/'参数'!$D$61)</x:f>
        <x:v>0</x:v>
      </x:c>
      <x:c r="P43" s="9" t="n">
        <x:f>P42+M43-(O43-N43)*'参数'!$D$61</x:f>
        <x:v>0</x:v>
      </x:c>
      <x:c r="Q43" s="9" t="n">
        <x:f>IF(OR(A43=1,A43=31,A43=61),'参数'!$D$70*'参数'!$D$60,0)</x:f>
        <x:v>0</x:v>
      </x:c>
      <x:c r="R43" s="9" t="n">
        <x:f>R42+Q43</x:f>
        <x:v>0</x:v>
      </x:c>
      <x:c r="S43" s="9" t="n">
        <x:f>S42+O43</x:f>
        <x:v>23</x:v>
      </x:c>
      <x:c r="T43" s="9" t="n">
        <x:f>O43*2+IF(MOD(A43,7)=0,'参数'!$D$68,0)+IF(A43=7,'参数'!$D$69,0)</x:f>
        <x:v>0</x:v>
      </x:c>
      <x:c r="U43" s="9" t="n">
        <x:f>IF(A43=90,160,0)</x:f>
        <x:v>0</x:v>
      </x:c>
      <x:c r="V43" s="9" t="n">
        <x:f>IF(W42+T43&gt;=U43,U43,0)</x:f>
        <x:v>0</x:v>
      </x:c>
      <x:c r="W43" s="9" t="n">
        <x:f>W42+T43-V43</x:f>
        <x:v>81</x:v>
      </x:c>
    </x:row>
    <x:row r="44" ht="48" customHeight="1">
      <x:c r="A44" s="10" t="n">
        <x:v>38</x:v>
      </x:c>
      <x:c r="B44" s="10" t="n">
        <x:f>L43</x:f>
        <x:v>5335</x:v>
      </x:c>
      <x:c r="C44" s="10" t="n">
        <x:f>'参数'!$D$7*'参数'!$D$11*'参数'!$D$15</x:f>
        <x:v>720</x:v>
      </x:c>
      <x:c r="D44" s="10" t="n">
        <x:f>'参数'!$D$7*'参数'!$D$19</x:f>
        <x:v>240</x:v>
      </x:c>
      <x:c r="E44" s="10" t="n">
        <x:f>'参数'!$D$23*'参数'!$D$53+IF(MOD(A44,7)=0,'参数'!$D$54,0)</x:f>
        <x:v>40</x:v>
      </x:c>
      <x:c r="F44" s="10" t="n">
        <x:f>(INT(A44*'参数'!$D$35/7)-INT((A44-1)*'参数'!$D$35/7))*IF(A44&lt;=30,'参数'!$D$56,IF(A44&lt;=60,'参数'!$D$57,'参数'!$D$58))+IF(A44=1,60,0)</x:f>
        <x:v>360</x:v>
      </x:c>
      <x:c r="G44" s="10" t="n">
        <x:f>(INT(A44*'参数'!$D$27)-INT((A44-1)*'参数'!$D$27))*'参数'!$D$55</x:f>
        <x:v>35</x:v>
      </x:c>
      <x:c r="H44" s="10" t="n">
        <x:f>'参数'!$D$31</x:f>
        <x:v>10</x:v>
      </x:c>
      <x:c r="I44" s="10" t="n">
        <x:f>(INT(A44*'参数'!$D$39/7)-INT((A44-1)*'参数'!$D$39/7))*'参数'!$D$59</x:f>
        <x:v>0</x:v>
      </x:c>
      <x:c r="J44" s="10" t="n">
        <x:f>IF(A44=30,4000,IF(A44=60,6000,IF(A44=90,9000,IF(MOD(A44,7)=0,'参数'!$D$43,0))))</x:f>
        <x:v>0</x:v>
      </x:c>
      <x:c r="K44" s="10" t="n">
        <x:f>IF(B44+C44-D44+E44-F44-G44-H44-I44-'参数'!$D$52&gt;=J44,J44,0)</x:f>
        <x:v>0</x:v>
      </x:c>
      <x:c r="L44" s="10" t="n">
        <x:f>B44+C44-D44+E44-F44-G44-H44-I44-K44</x:f>
        <x:v>5450</x:v>
      </x:c>
      <x:c r="M44" s="10" t="n">
        <x:f>IF(A44=1,'参数'!$D$64,0)+IF(MOD(A44,7)=0,'参数'!$D$62,0)+IF(MOD(A44,30)=0,'参数'!$D$63,0)</x:f>
        <x:v>0</x:v>
      </x:c>
      <x:c r="N44" s="10" t="n">
        <x:f>IF(OR(A44=1,A44=7),'参数'!$D$65/2,0)+IF(MOD(A44,7)=0,'参数'!$D$66,0)</x:f>
        <x:v>0</x:v>
      </x:c>
      <x:c r="O44" s="10" t="n">
        <x:f>N44+INT((P43+M44)/'参数'!$D$61)</x:f>
        <x:v>0</x:v>
      </x:c>
      <x:c r="P44" s="10" t="n">
        <x:f>P43+M44-(O44-N44)*'参数'!$D$61</x:f>
        <x:v>0</x:v>
      </x:c>
      <x:c r="Q44" s="10" t="n">
        <x:f>IF(OR(A44=1,A44=31,A44=61),'参数'!$D$70*'参数'!$D$60,0)</x:f>
        <x:v>0</x:v>
      </x:c>
      <x:c r="R44" s="10" t="n">
        <x:f>R43+Q44</x:f>
        <x:v>0</x:v>
      </x:c>
      <x:c r="S44" s="10" t="n">
        <x:f>S43+O44</x:f>
        <x:v>23</x:v>
      </x:c>
      <x:c r="T44" s="10" t="n">
        <x:f>O44*2+IF(MOD(A44,7)=0,'参数'!$D$68,0)+IF(A44=7,'参数'!$D$69,0)</x:f>
        <x:v>0</x:v>
      </x:c>
      <x:c r="U44" s="10" t="n">
        <x:f>IF(A44=90,160,0)</x:f>
        <x:v>0</x:v>
      </x:c>
      <x:c r="V44" s="10" t="n">
        <x:f>IF(W43+T44&gt;=U44,U44,0)</x:f>
        <x:v>0</x:v>
      </x:c>
      <x:c r="W44" s="10" t="n">
        <x:f>W43+T44-V44</x:f>
        <x:v>81</x:v>
      </x:c>
    </x:row>
    <x:row r="45" ht="48" customHeight="1">
      <x:c r="A45" s="9" t="n">
        <x:v>39</x:v>
      </x:c>
      <x:c r="B45" s="9" t="n">
        <x:f>L44</x:f>
        <x:v>5450</x:v>
      </x:c>
      <x:c r="C45" s="9" t="n">
        <x:f>'参数'!$D$7*'参数'!$D$11*'参数'!$D$15</x:f>
        <x:v>720</x:v>
      </x:c>
      <x:c r="D45" s="9" t="n">
        <x:f>'参数'!$D$7*'参数'!$D$19</x:f>
        <x:v>240</x:v>
      </x:c>
      <x:c r="E45" s="9" t="n">
        <x:f>'参数'!$D$23*'参数'!$D$53+IF(MOD(A45,7)=0,'参数'!$D$54,0)</x:f>
        <x:v>40</x:v>
      </x:c>
      <x:c r="F45" s="9" t="n">
        <x:f>(INT(A45*'参数'!$D$35/7)-INT((A45-1)*'参数'!$D$35/7))*IF(A45&lt;=30,'参数'!$D$56,IF(A45&lt;=60,'参数'!$D$57,'参数'!$D$58))+IF(A45=1,60,0)</x:f>
        <x:v>0</x:v>
      </x:c>
      <x:c r="G45" s="9" t="n">
        <x:f>(INT(A45*'参数'!$D$27)-INT((A45-1)*'参数'!$D$27))*'参数'!$D$55</x:f>
        <x:v>35</x:v>
      </x:c>
      <x:c r="H45" s="9" t="n">
        <x:f>'参数'!$D$31</x:f>
        <x:v>10</x:v>
      </x:c>
      <x:c r="I45" s="9" t="n">
        <x:f>(INT(A45*'参数'!$D$39/7)-INT((A45-1)*'参数'!$D$39/7))*'参数'!$D$59</x:f>
        <x:v>0</x:v>
      </x:c>
      <x:c r="J45" s="9" t="n">
        <x:f>IF(A45=30,4000,IF(A45=60,6000,IF(A45=90,9000,IF(MOD(A45,7)=0,'参数'!$D$43,0))))</x:f>
        <x:v>0</x:v>
      </x:c>
      <x:c r="K45" s="9" t="n">
        <x:f>IF(B45+C45-D45+E45-F45-G45-H45-I45-'参数'!$D$52&gt;=J45,J45,0)</x:f>
        <x:v>0</x:v>
      </x:c>
      <x:c r="L45" s="9" t="n">
        <x:f>B45+C45-D45+E45-F45-G45-H45-I45-K45</x:f>
        <x:v>5925</x:v>
      </x:c>
      <x:c r="M45" s="9" t="n">
        <x:f>IF(A45=1,'参数'!$D$64,0)+IF(MOD(A45,7)=0,'参数'!$D$62,0)+IF(MOD(A45,30)=0,'参数'!$D$63,0)</x:f>
        <x:v>0</x:v>
      </x:c>
      <x:c r="N45" s="9" t="n">
        <x:f>IF(OR(A45=1,A45=7),'参数'!$D$65/2,0)+IF(MOD(A45,7)=0,'参数'!$D$66,0)</x:f>
        <x:v>0</x:v>
      </x:c>
      <x:c r="O45" s="9" t="n">
        <x:f>N45+INT((P44+M45)/'参数'!$D$61)</x:f>
        <x:v>0</x:v>
      </x:c>
      <x:c r="P45" s="9" t="n">
        <x:f>P44+M45-(O45-N45)*'参数'!$D$61</x:f>
        <x:v>0</x:v>
      </x:c>
      <x:c r="Q45" s="9" t="n">
        <x:f>IF(OR(A45=1,A45=31,A45=61),'参数'!$D$70*'参数'!$D$60,0)</x:f>
        <x:v>0</x:v>
      </x:c>
      <x:c r="R45" s="9" t="n">
        <x:f>R44+Q45</x:f>
        <x:v>0</x:v>
      </x:c>
      <x:c r="S45" s="9" t="n">
        <x:f>S44+O45</x:f>
        <x:v>23</x:v>
      </x:c>
      <x:c r="T45" s="9" t="n">
        <x:f>O45*2+IF(MOD(A45,7)=0,'参数'!$D$68,0)+IF(A45=7,'参数'!$D$69,0)</x:f>
        <x:v>0</x:v>
      </x:c>
      <x:c r="U45" s="9" t="n">
        <x:f>IF(A45=90,160,0)</x:f>
        <x:v>0</x:v>
      </x:c>
      <x:c r="V45" s="9" t="n">
        <x:f>IF(W44+T45&gt;=U45,U45,0)</x:f>
        <x:v>0</x:v>
      </x:c>
      <x:c r="W45" s="9" t="n">
        <x:f>W44+T45-V45</x:f>
        <x:v>81</x:v>
      </x:c>
    </x:row>
    <x:row r="46" ht="48" customHeight="1">
      <x:c r="A46" s="10" t="n">
        <x:v>40</x:v>
      </x:c>
      <x:c r="B46" s="10" t="n">
        <x:f>L45</x:f>
        <x:v>5925</x:v>
      </x:c>
      <x:c r="C46" s="10" t="n">
        <x:f>'参数'!$D$7*'参数'!$D$11*'参数'!$D$15</x:f>
        <x:v>720</x:v>
      </x:c>
      <x:c r="D46" s="10" t="n">
        <x:f>'参数'!$D$7*'参数'!$D$19</x:f>
        <x:v>240</x:v>
      </x:c>
      <x:c r="E46" s="10" t="n">
        <x:f>'参数'!$D$23*'参数'!$D$53+IF(MOD(A46,7)=0,'参数'!$D$54,0)</x:f>
        <x:v>40</x:v>
      </x:c>
      <x:c r="F46" s="10" t="n">
        <x:f>(INT(A46*'参数'!$D$35/7)-INT((A46-1)*'参数'!$D$35/7))*IF(A46&lt;=30,'参数'!$D$56,IF(A46&lt;=60,'参数'!$D$57,'参数'!$D$58))+IF(A46=1,60,0)</x:f>
        <x:v>360</x:v>
      </x:c>
      <x:c r="G46" s="10" t="n">
        <x:f>(INT(A46*'参数'!$D$27)-INT((A46-1)*'参数'!$D$27))*'参数'!$D$55</x:f>
        <x:v>35</x:v>
      </x:c>
      <x:c r="H46" s="10" t="n">
        <x:f>'参数'!$D$31</x:f>
        <x:v>10</x:v>
      </x:c>
      <x:c r="I46" s="10" t="n">
        <x:f>(INT(A46*'参数'!$D$39/7)-INT((A46-1)*'参数'!$D$39/7))*'参数'!$D$59</x:f>
        <x:v>0</x:v>
      </x:c>
      <x:c r="J46" s="10" t="n">
        <x:f>IF(A46=30,4000,IF(A46=60,6000,IF(A46=90,9000,IF(MOD(A46,7)=0,'参数'!$D$43,0))))</x:f>
        <x:v>0</x:v>
      </x:c>
      <x:c r="K46" s="10" t="n">
        <x:f>IF(B46+C46-D46+E46-F46-G46-H46-I46-'参数'!$D$52&gt;=J46,J46,0)</x:f>
        <x:v>0</x:v>
      </x:c>
      <x:c r="L46" s="10" t="n">
        <x:f>B46+C46-D46+E46-F46-G46-H46-I46-K46</x:f>
        <x:v>6040</x:v>
      </x:c>
      <x:c r="M46" s="10" t="n">
        <x:f>IF(A46=1,'参数'!$D$64,0)+IF(MOD(A46,7)=0,'参数'!$D$62,0)+IF(MOD(A46,30)=0,'参数'!$D$63,0)</x:f>
        <x:v>0</x:v>
      </x:c>
      <x:c r="N46" s="10" t="n">
        <x:f>IF(OR(A46=1,A46=7),'参数'!$D$65/2,0)+IF(MOD(A46,7)=0,'参数'!$D$66,0)</x:f>
        <x:v>0</x:v>
      </x:c>
      <x:c r="O46" s="10" t="n">
        <x:f>N46+INT((P45+M46)/'参数'!$D$61)</x:f>
        <x:v>0</x:v>
      </x:c>
      <x:c r="P46" s="10" t="n">
        <x:f>P45+M46-(O46-N46)*'参数'!$D$61</x:f>
        <x:v>0</x:v>
      </x:c>
      <x:c r="Q46" s="10" t="n">
        <x:f>IF(OR(A46=1,A46=31,A46=61),'参数'!$D$70*'参数'!$D$60,0)</x:f>
        <x:v>0</x:v>
      </x:c>
      <x:c r="R46" s="10" t="n">
        <x:f>R45+Q46</x:f>
        <x:v>0</x:v>
      </x:c>
      <x:c r="S46" s="10" t="n">
        <x:f>S45+O46</x:f>
        <x:v>23</x:v>
      </x:c>
      <x:c r="T46" s="10" t="n">
        <x:f>O46*2+IF(MOD(A46,7)=0,'参数'!$D$68,0)+IF(A46=7,'参数'!$D$69,0)</x:f>
        <x:v>0</x:v>
      </x:c>
      <x:c r="U46" s="10" t="n">
        <x:f>IF(A46=90,160,0)</x:f>
        <x:v>0</x:v>
      </x:c>
      <x:c r="V46" s="10" t="n">
        <x:f>IF(W45+T46&gt;=U46,U46,0)</x:f>
        <x:v>0</x:v>
      </x:c>
      <x:c r="W46" s="10" t="n">
        <x:f>W45+T46-V46</x:f>
        <x:v>81</x:v>
      </x:c>
    </x:row>
    <x:row r="47" ht="48" customHeight="1">
      <x:c r="A47" s="9" t="n">
        <x:v>41</x:v>
      </x:c>
      <x:c r="B47" s="9" t="n">
        <x:f>L46</x:f>
        <x:v>6040</x:v>
      </x:c>
      <x:c r="C47" s="9" t="n">
        <x:f>'参数'!$D$7*'参数'!$D$11*'参数'!$D$15</x:f>
        <x:v>720</x:v>
      </x:c>
      <x:c r="D47" s="9" t="n">
        <x:f>'参数'!$D$7*'参数'!$D$19</x:f>
        <x:v>240</x:v>
      </x:c>
      <x:c r="E47" s="9" t="n">
        <x:f>'参数'!$D$23*'参数'!$D$53+IF(MOD(A47,7)=0,'参数'!$D$54,0)</x:f>
        <x:v>40</x:v>
      </x:c>
      <x:c r="F47" s="9" t="n">
        <x:f>(INT(A47*'参数'!$D$35/7)-INT((A47-1)*'参数'!$D$35/7))*IF(A47&lt;=30,'参数'!$D$56,IF(A47&lt;=60,'参数'!$D$57,'参数'!$D$58))+IF(A47=1,60,0)</x:f>
        <x:v>0</x:v>
      </x:c>
      <x:c r="G47" s="9" t="n">
        <x:f>(INT(A47*'参数'!$D$27)-INT((A47-1)*'参数'!$D$27))*'参数'!$D$55</x:f>
        <x:v>35</x:v>
      </x:c>
      <x:c r="H47" s="9" t="n">
        <x:f>'参数'!$D$31</x:f>
        <x:v>10</x:v>
      </x:c>
      <x:c r="I47" s="9" t="n">
        <x:f>(INT(A47*'参数'!$D$39/7)-INT((A47-1)*'参数'!$D$39/7))*'参数'!$D$59</x:f>
        <x:v>0</x:v>
      </x:c>
      <x:c r="J47" s="9" t="n">
        <x:f>IF(A47=30,4000,IF(A47=60,6000,IF(A47=90,9000,IF(MOD(A47,7)=0,'参数'!$D$43,0))))</x:f>
        <x:v>0</x:v>
      </x:c>
      <x:c r="K47" s="9" t="n">
        <x:f>IF(B47+C47-D47+E47-F47-G47-H47-I47-'参数'!$D$52&gt;=J47,J47,0)</x:f>
        <x:v>0</x:v>
      </x:c>
      <x:c r="L47" s="9" t="n">
        <x:f>B47+C47-D47+E47-F47-G47-H47-I47-K47</x:f>
        <x:v>6515</x:v>
      </x:c>
      <x:c r="M47" s="9" t="n">
        <x:f>IF(A47=1,'参数'!$D$64,0)+IF(MOD(A47,7)=0,'参数'!$D$62,0)+IF(MOD(A47,30)=0,'参数'!$D$63,0)</x:f>
        <x:v>0</x:v>
      </x:c>
      <x:c r="N47" s="9" t="n">
        <x:f>IF(OR(A47=1,A47=7),'参数'!$D$65/2,0)+IF(MOD(A47,7)=0,'参数'!$D$66,0)</x:f>
        <x:v>0</x:v>
      </x:c>
      <x:c r="O47" s="9" t="n">
        <x:f>N47+INT((P46+M47)/'参数'!$D$61)</x:f>
        <x:v>0</x:v>
      </x:c>
      <x:c r="P47" s="9" t="n">
        <x:f>P46+M47-(O47-N47)*'参数'!$D$61</x:f>
        <x:v>0</x:v>
      </x:c>
      <x:c r="Q47" s="9" t="n">
        <x:f>IF(OR(A47=1,A47=31,A47=61),'参数'!$D$70*'参数'!$D$60,0)</x:f>
        <x:v>0</x:v>
      </x:c>
      <x:c r="R47" s="9" t="n">
        <x:f>R46+Q47</x:f>
        <x:v>0</x:v>
      </x:c>
      <x:c r="S47" s="9" t="n">
        <x:f>S46+O47</x:f>
        <x:v>23</x:v>
      </x:c>
      <x:c r="T47" s="9" t="n">
        <x:f>O47*2+IF(MOD(A47,7)=0,'参数'!$D$68,0)+IF(A47=7,'参数'!$D$69,0)</x:f>
        <x:v>0</x:v>
      </x:c>
      <x:c r="U47" s="9" t="n">
        <x:f>IF(A47=90,160,0)</x:f>
        <x:v>0</x:v>
      </x:c>
      <x:c r="V47" s="9" t="n">
        <x:f>IF(W46+T47&gt;=U47,U47,0)</x:f>
        <x:v>0</x:v>
      </x:c>
      <x:c r="W47" s="9" t="n">
        <x:f>W46+T47-V47</x:f>
        <x:v>81</x:v>
      </x:c>
    </x:row>
    <x:row r="48" ht="48" customHeight="1">
      <x:c r="A48" s="10" t="n">
        <x:v>42</x:v>
      </x:c>
      <x:c r="B48" s="10" t="n">
        <x:f>L47</x:f>
        <x:v>6515</x:v>
      </x:c>
      <x:c r="C48" s="10" t="n">
        <x:f>'参数'!$D$7*'参数'!$D$11*'参数'!$D$15</x:f>
        <x:v>720</x:v>
      </x:c>
      <x:c r="D48" s="10" t="n">
        <x:f>'参数'!$D$7*'参数'!$D$19</x:f>
        <x:v>240</x:v>
      </x:c>
      <x:c r="E48" s="10" t="n">
        <x:f>'参数'!$D$23*'参数'!$D$53+IF(MOD(A48,7)=0,'参数'!$D$54,0)</x:f>
        <x:v>180</x:v>
      </x:c>
      <x:c r="F48" s="10" t="n">
        <x:f>(INT(A48*'参数'!$D$35/7)-INT((A48-1)*'参数'!$D$35/7))*IF(A48&lt;=30,'参数'!$D$56,IF(A48&lt;=60,'参数'!$D$57,'参数'!$D$58))+IF(A48=1,60,0)</x:f>
        <x:v>360</x:v>
      </x:c>
      <x:c r="G48" s="10" t="n">
        <x:f>(INT(A48*'参数'!$D$27)-INT((A48-1)*'参数'!$D$27))*'参数'!$D$55</x:f>
        <x:v>35</x:v>
      </x:c>
      <x:c r="H48" s="10" t="n">
        <x:f>'参数'!$D$31</x:f>
        <x:v>10</x:v>
      </x:c>
      <x:c r="I48" s="10" t="n">
        <x:f>(INT(A48*'参数'!$D$39/7)-INT((A48-1)*'参数'!$D$39/7))*'参数'!$D$59</x:f>
        <x:v>300</x:v>
      </x:c>
      <x:c r="J48" s="10" t="n">
        <x:f>IF(A48=30,4000,IF(A48=60,6000,IF(A48=90,9000,IF(MOD(A48,7)=0,'参数'!$D$43,0))))</x:f>
        <x:v>900</x:v>
      </x:c>
      <x:c r="K48" s="10" t="n">
        <x:f>IF(B48+C48-D48+E48-F48-G48-H48-I48-'参数'!$D$52&gt;=J48,J48,0)</x:f>
        <x:v>900</x:v>
      </x:c>
      <x:c r="L48" s="10" t="n">
        <x:f>B48+C48-D48+E48-F48-G48-H48-I48-K48</x:f>
        <x:v>5570</x:v>
      </x:c>
      <x:c r="M48" s="10" t="n">
        <x:f>IF(A48=1,'参数'!$D$64,0)+IF(MOD(A48,7)=0,'参数'!$D$62,0)+IF(MOD(A48,30)=0,'参数'!$D$63,0)</x:f>
        <x:v>60</x:v>
      </x:c>
      <x:c r="N48" s="10" t="n">
        <x:f>IF(OR(A48=1,A48=7),'参数'!$D$65/2,0)+IF(MOD(A48,7)=0,'参数'!$D$66,0)</x:f>
        <x:v>1</x:v>
      </x:c>
      <x:c r="O48" s="10" t="n">
        <x:f>N48+INT((P47+M48)/'参数'!$D$61)</x:f>
        <x:v>2</x:v>
      </x:c>
      <x:c r="P48" s="10" t="n">
        <x:f>P47+M48-(O48-N48)*'参数'!$D$61</x:f>
        <x:v>0</x:v>
      </x:c>
      <x:c r="Q48" s="10" t="n">
        <x:f>IF(OR(A48=1,A48=31,A48=61),'参数'!$D$70*'参数'!$D$60,0)</x:f>
        <x:v>0</x:v>
      </x:c>
      <x:c r="R48" s="10" t="n">
        <x:f>R47+Q48</x:f>
        <x:v>0</x:v>
      </x:c>
      <x:c r="S48" s="10" t="n">
        <x:f>S47+O48</x:f>
        <x:v>25</x:v>
      </x:c>
      <x:c r="T48" s="10" t="n">
        <x:f>O48*2+IF(MOD(A48,7)=0,'参数'!$D$68,0)+IF(A48=7,'参数'!$D$69,0)</x:f>
        <x:v>9</x:v>
      </x:c>
      <x:c r="U48" s="10" t="n">
        <x:f>IF(A48=90,160,0)</x:f>
        <x:v>0</x:v>
      </x:c>
      <x:c r="V48" s="10" t="n">
        <x:f>IF(W47+T48&gt;=U48,U48,0)</x:f>
        <x:v>0</x:v>
      </x:c>
      <x:c r="W48" s="10" t="n">
        <x:f>W47+T48-V48</x:f>
        <x:v>90</x:v>
      </x:c>
    </x:row>
    <x:row r="49" ht="48" customHeight="1">
      <x:c r="A49" s="9" t="n">
        <x:v>43</x:v>
      </x:c>
      <x:c r="B49" s="9" t="n">
        <x:f>L48</x:f>
        <x:v>5570</x:v>
      </x:c>
      <x:c r="C49" s="9" t="n">
        <x:f>'参数'!$D$7*'参数'!$D$11*'参数'!$D$15</x:f>
        <x:v>720</x:v>
      </x:c>
      <x:c r="D49" s="9" t="n">
        <x:f>'参数'!$D$7*'参数'!$D$19</x:f>
        <x:v>240</x:v>
      </x:c>
      <x:c r="E49" s="9" t="n">
        <x:f>'参数'!$D$23*'参数'!$D$53+IF(MOD(A49,7)=0,'参数'!$D$54,0)</x:f>
        <x:v>40</x:v>
      </x:c>
      <x:c r="F49" s="9" t="n">
        <x:f>(INT(A49*'参数'!$D$35/7)-INT((A49-1)*'参数'!$D$35/7))*IF(A49&lt;=30,'参数'!$D$56,IF(A49&lt;=60,'参数'!$D$57,'参数'!$D$58))+IF(A49=1,60,0)</x:f>
        <x:v>0</x:v>
      </x:c>
      <x:c r="G49" s="9" t="n">
        <x:f>(INT(A49*'参数'!$D$27)-INT((A49-1)*'参数'!$D$27))*'参数'!$D$55</x:f>
        <x:v>35</x:v>
      </x:c>
      <x:c r="H49" s="9" t="n">
        <x:f>'参数'!$D$31</x:f>
        <x:v>10</x:v>
      </x:c>
      <x:c r="I49" s="9" t="n">
        <x:f>(INT(A49*'参数'!$D$39/7)-INT((A49-1)*'参数'!$D$39/7))*'参数'!$D$59</x:f>
        <x:v>0</x:v>
      </x:c>
      <x:c r="J49" s="9" t="n">
        <x:f>IF(A49=30,4000,IF(A49=60,6000,IF(A49=90,9000,IF(MOD(A49,7)=0,'参数'!$D$43,0))))</x:f>
        <x:v>0</x:v>
      </x:c>
      <x:c r="K49" s="9" t="n">
        <x:f>IF(B49+C49-D49+E49-F49-G49-H49-I49-'参数'!$D$52&gt;=J49,J49,0)</x:f>
        <x:v>0</x:v>
      </x:c>
      <x:c r="L49" s="9" t="n">
        <x:f>B49+C49-D49+E49-F49-G49-H49-I49-K49</x:f>
        <x:v>6045</x:v>
      </x:c>
      <x:c r="M49" s="9" t="n">
        <x:f>IF(A49=1,'参数'!$D$64,0)+IF(MOD(A49,7)=0,'参数'!$D$62,0)+IF(MOD(A49,30)=0,'参数'!$D$63,0)</x:f>
        <x:v>0</x:v>
      </x:c>
      <x:c r="N49" s="9" t="n">
        <x:f>IF(OR(A49=1,A49=7),'参数'!$D$65/2,0)+IF(MOD(A49,7)=0,'参数'!$D$66,0)</x:f>
        <x:v>0</x:v>
      </x:c>
      <x:c r="O49" s="9" t="n">
        <x:f>N49+INT((P48+M49)/'参数'!$D$61)</x:f>
        <x:v>0</x:v>
      </x:c>
      <x:c r="P49" s="9" t="n">
        <x:f>P48+M49-(O49-N49)*'参数'!$D$61</x:f>
        <x:v>0</x:v>
      </x:c>
      <x:c r="Q49" s="9" t="n">
        <x:f>IF(OR(A49=1,A49=31,A49=61),'参数'!$D$70*'参数'!$D$60,0)</x:f>
        <x:v>0</x:v>
      </x:c>
      <x:c r="R49" s="9" t="n">
        <x:f>R48+Q49</x:f>
        <x:v>0</x:v>
      </x:c>
      <x:c r="S49" s="9" t="n">
        <x:f>S48+O49</x:f>
        <x:v>25</x:v>
      </x:c>
      <x:c r="T49" s="9" t="n">
        <x:f>O49*2+IF(MOD(A49,7)=0,'参数'!$D$68,0)+IF(A49=7,'参数'!$D$69,0)</x:f>
        <x:v>0</x:v>
      </x:c>
      <x:c r="U49" s="9" t="n">
        <x:f>IF(A49=90,160,0)</x:f>
        <x:v>0</x:v>
      </x:c>
      <x:c r="V49" s="9" t="n">
        <x:f>IF(W48+T49&gt;=U49,U49,0)</x:f>
        <x:v>0</x:v>
      </x:c>
      <x:c r="W49" s="9" t="n">
        <x:f>W48+T49-V49</x:f>
        <x:v>90</x:v>
      </x:c>
    </x:row>
    <x:row r="50" ht="48" customHeight="1">
      <x:c r="A50" s="10" t="n">
        <x:v>44</x:v>
      </x:c>
      <x:c r="B50" s="10" t="n">
        <x:f>L49</x:f>
        <x:v>6045</x:v>
      </x:c>
      <x:c r="C50" s="10" t="n">
        <x:f>'参数'!$D$7*'参数'!$D$11*'参数'!$D$15</x:f>
        <x:v>720</x:v>
      </x:c>
      <x:c r="D50" s="10" t="n">
        <x:f>'参数'!$D$7*'参数'!$D$19</x:f>
        <x:v>240</x:v>
      </x:c>
      <x:c r="E50" s="10" t="n">
        <x:f>'参数'!$D$23*'参数'!$D$53+IF(MOD(A50,7)=0,'参数'!$D$54,0)</x:f>
        <x:v>40</x:v>
      </x:c>
      <x:c r="F50" s="10" t="n">
        <x:f>(INT(A50*'参数'!$D$35/7)-INT((A50-1)*'参数'!$D$35/7))*IF(A50&lt;=30,'参数'!$D$56,IF(A50&lt;=60,'参数'!$D$57,'参数'!$D$58))+IF(A50=1,60,0)</x:f>
        <x:v>0</x:v>
      </x:c>
      <x:c r="G50" s="10" t="n">
        <x:f>(INT(A50*'参数'!$D$27)-INT((A50-1)*'参数'!$D$27))*'参数'!$D$55</x:f>
        <x:v>35</x:v>
      </x:c>
      <x:c r="H50" s="10" t="n">
        <x:f>'参数'!$D$31</x:f>
        <x:v>10</x:v>
      </x:c>
      <x:c r="I50" s="10" t="n">
        <x:f>(INT(A50*'参数'!$D$39/7)-INT((A50-1)*'参数'!$D$39/7))*'参数'!$D$59</x:f>
        <x:v>0</x:v>
      </x:c>
      <x:c r="J50" s="10" t="n">
        <x:f>IF(A50=30,4000,IF(A50=60,6000,IF(A50=90,9000,IF(MOD(A50,7)=0,'参数'!$D$43,0))))</x:f>
        <x:v>0</x:v>
      </x:c>
      <x:c r="K50" s="10" t="n">
        <x:f>IF(B50+C50-D50+E50-F50-G50-H50-I50-'参数'!$D$52&gt;=J50,J50,0)</x:f>
        <x:v>0</x:v>
      </x:c>
      <x:c r="L50" s="10" t="n">
        <x:f>B50+C50-D50+E50-F50-G50-H50-I50-K50</x:f>
        <x:v>6520</x:v>
      </x:c>
      <x:c r="M50" s="10" t="n">
        <x:f>IF(A50=1,'参数'!$D$64,0)+IF(MOD(A50,7)=0,'参数'!$D$62,0)+IF(MOD(A50,30)=0,'参数'!$D$63,0)</x:f>
        <x:v>0</x:v>
      </x:c>
      <x:c r="N50" s="10" t="n">
        <x:f>IF(OR(A50=1,A50=7),'参数'!$D$65/2,0)+IF(MOD(A50,7)=0,'参数'!$D$66,0)</x:f>
        <x:v>0</x:v>
      </x:c>
      <x:c r="O50" s="10" t="n">
        <x:f>N50+INT((P49+M50)/'参数'!$D$61)</x:f>
        <x:v>0</x:v>
      </x:c>
      <x:c r="P50" s="10" t="n">
        <x:f>P49+M50-(O50-N50)*'参数'!$D$61</x:f>
        <x:v>0</x:v>
      </x:c>
      <x:c r="Q50" s="10" t="n">
        <x:f>IF(OR(A50=1,A50=31,A50=61),'参数'!$D$70*'参数'!$D$60,0)</x:f>
        <x:v>0</x:v>
      </x:c>
      <x:c r="R50" s="10" t="n">
        <x:f>R49+Q50</x:f>
        <x:v>0</x:v>
      </x:c>
      <x:c r="S50" s="10" t="n">
        <x:f>S49+O50</x:f>
        <x:v>25</x:v>
      </x:c>
      <x:c r="T50" s="10" t="n">
        <x:f>O50*2+IF(MOD(A50,7)=0,'参数'!$D$68,0)+IF(A50=7,'参数'!$D$69,0)</x:f>
        <x:v>0</x:v>
      </x:c>
      <x:c r="U50" s="10" t="n">
        <x:f>IF(A50=90,160,0)</x:f>
        <x:v>0</x:v>
      </x:c>
      <x:c r="V50" s="10" t="n">
        <x:f>IF(W49+T50&gt;=U50,U50,0)</x:f>
        <x:v>0</x:v>
      </x:c>
      <x:c r="W50" s="10" t="n">
        <x:f>W49+T50-V50</x:f>
        <x:v>90</x:v>
      </x:c>
    </x:row>
    <x:row r="51" ht="48" customHeight="1">
      <x:c r="A51" s="9" t="n">
        <x:v>45</x:v>
      </x:c>
      <x:c r="B51" s="9" t="n">
        <x:f>L50</x:f>
        <x:v>6520</x:v>
      </x:c>
      <x:c r="C51" s="9" t="n">
        <x:f>'参数'!$D$7*'参数'!$D$11*'参数'!$D$15</x:f>
        <x:v>720</x:v>
      </x:c>
      <x:c r="D51" s="9" t="n">
        <x:f>'参数'!$D$7*'参数'!$D$19</x:f>
        <x:v>240</x:v>
      </x:c>
      <x:c r="E51" s="9" t="n">
        <x:f>'参数'!$D$23*'参数'!$D$53+IF(MOD(A51,7)=0,'参数'!$D$54,0)</x:f>
        <x:v>40</x:v>
      </x:c>
      <x:c r="F51" s="9" t="n">
        <x:f>(INT(A51*'参数'!$D$35/7)-INT((A51-1)*'参数'!$D$35/7))*IF(A51&lt;=30,'参数'!$D$56,IF(A51&lt;=60,'参数'!$D$57,'参数'!$D$58))+IF(A51=1,60,0)</x:f>
        <x:v>360</x:v>
      </x:c>
      <x:c r="G51" s="9" t="n">
        <x:f>(INT(A51*'参数'!$D$27)-INT((A51-1)*'参数'!$D$27))*'参数'!$D$55</x:f>
        <x:v>35</x:v>
      </x:c>
      <x:c r="H51" s="9" t="n">
        <x:f>'参数'!$D$31</x:f>
        <x:v>10</x:v>
      </x:c>
      <x:c r="I51" s="9" t="n">
        <x:f>(INT(A51*'参数'!$D$39/7)-INT((A51-1)*'参数'!$D$39/7))*'参数'!$D$59</x:f>
        <x:v>0</x:v>
      </x:c>
      <x:c r="J51" s="9" t="n">
        <x:f>IF(A51=30,4000,IF(A51=60,6000,IF(A51=90,9000,IF(MOD(A51,7)=0,'参数'!$D$43,0))))</x:f>
        <x:v>0</x:v>
      </x:c>
      <x:c r="K51" s="9" t="n">
        <x:f>IF(B51+C51-D51+E51-F51-G51-H51-I51-'参数'!$D$52&gt;=J51,J51,0)</x:f>
        <x:v>0</x:v>
      </x:c>
      <x:c r="L51" s="9" t="n">
        <x:f>B51+C51-D51+E51-F51-G51-H51-I51-K51</x:f>
        <x:v>6635</x:v>
      </x:c>
      <x:c r="M51" s="9" t="n">
        <x:f>IF(A51=1,'参数'!$D$64,0)+IF(MOD(A51,7)=0,'参数'!$D$62,0)+IF(MOD(A51,30)=0,'参数'!$D$63,0)</x:f>
        <x:v>0</x:v>
      </x:c>
      <x:c r="N51" s="9" t="n">
        <x:f>IF(OR(A51=1,A51=7),'参数'!$D$65/2,0)+IF(MOD(A51,7)=0,'参数'!$D$66,0)</x:f>
        <x:v>0</x:v>
      </x:c>
      <x:c r="O51" s="9" t="n">
        <x:f>N51+INT((P50+M51)/'参数'!$D$61)</x:f>
        <x:v>0</x:v>
      </x:c>
      <x:c r="P51" s="9" t="n">
        <x:f>P50+M51-(O51-N51)*'参数'!$D$61</x:f>
        <x:v>0</x:v>
      </x:c>
      <x:c r="Q51" s="9" t="n">
        <x:f>IF(OR(A51=1,A51=31,A51=61),'参数'!$D$70*'参数'!$D$60,0)</x:f>
        <x:v>0</x:v>
      </x:c>
      <x:c r="R51" s="9" t="n">
        <x:f>R50+Q51</x:f>
        <x:v>0</x:v>
      </x:c>
      <x:c r="S51" s="9" t="n">
        <x:f>S50+O51</x:f>
        <x:v>25</x:v>
      </x:c>
      <x:c r="T51" s="9" t="n">
        <x:f>O51*2+IF(MOD(A51,7)=0,'参数'!$D$68,0)+IF(A51=7,'参数'!$D$69,0)</x:f>
        <x:v>0</x:v>
      </x:c>
      <x:c r="U51" s="9" t="n">
        <x:f>IF(A51=90,160,0)</x:f>
        <x:v>0</x:v>
      </x:c>
      <x:c r="V51" s="9" t="n">
        <x:f>IF(W50+T51&gt;=U51,U51,0)</x:f>
        <x:v>0</x:v>
      </x:c>
      <x:c r="W51" s="9" t="n">
        <x:f>W50+T51-V51</x:f>
        <x:v>90</x:v>
      </x:c>
    </x:row>
    <x:row r="52" ht="48" customHeight="1">
      <x:c r="A52" s="10" t="n">
        <x:v>46</x:v>
      </x:c>
      <x:c r="B52" s="10" t="n">
        <x:f>L51</x:f>
        <x:v>6635</x:v>
      </x:c>
      <x:c r="C52" s="10" t="n">
        <x:f>'参数'!$D$7*'参数'!$D$11*'参数'!$D$15</x:f>
        <x:v>720</x:v>
      </x:c>
      <x:c r="D52" s="10" t="n">
        <x:f>'参数'!$D$7*'参数'!$D$19</x:f>
        <x:v>240</x:v>
      </x:c>
      <x:c r="E52" s="10" t="n">
        <x:f>'参数'!$D$23*'参数'!$D$53+IF(MOD(A52,7)=0,'参数'!$D$54,0)</x:f>
        <x:v>40</x:v>
      </x:c>
      <x:c r="F52" s="10" t="n">
        <x:f>(INT(A52*'参数'!$D$35/7)-INT((A52-1)*'参数'!$D$35/7))*IF(A52&lt;=30,'参数'!$D$56,IF(A52&lt;=60,'参数'!$D$57,'参数'!$D$58))+IF(A52=1,60,0)</x:f>
        <x:v>0</x:v>
      </x:c>
      <x:c r="G52" s="10" t="n">
        <x:f>(INT(A52*'参数'!$D$27)-INT((A52-1)*'参数'!$D$27))*'参数'!$D$55</x:f>
        <x:v>35</x:v>
      </x:c>
      <x:c r="H52" s="10" t="n">
        <x:f>'参数'!$D$31</x:f>
        <x:v>10</x:v>
      </x:c>
      <x:c r="I52" s="10" t="n">
        <x:f>(INT(A52*'参数'!$D$39/7)-INT((A52-1)*'参数'!$D$39/7))*'参数'!$D$59</x:f>
        <x:v>0</x:v>
      </x:c>
      <x:c r="J52" s="10" t="n">
        <x:f>IF(A52=30,4000,IF(A52=60,6000,IF(A52=90,9000,IF(MOD(A52,7)=0,'参数'!$D$43,0))))</x:f>
        <x:v>0</x:v>
      </x:c>
      <x:c r="K52" s="10" t="n">
        <x:f>IF(B52+C52-D52+E52-F52-G52-H52-I52-'参数'!$D$52&gt;=J52,J52,0)</x:f>
        <x:v>0</x:v>
      </x:c>
      <x:c r="L52" s="10" t="n">
        <x:f>B52+C52-D52+E52-F52-G52-H52-I52-K52</x:f>
        <x:v>7110</x:v>
      </x:c>
      <x:c r="M52" s="10" t="n">
        <x:f>IF(A52=1,'参数'!$D$64,0)+IF(MOD(A52,7)=0,'参数'!$D$62,0)+IF(MOD(A52,30)=0,'参数'!$D$63,0)</x:f>
        <x:v>0</x:v>
      </x:c>
      <x:c r="N52" s="10" t="n">
        <x:f>IF(OR(A52=1,A52=7),'参数'!$D$65/2,0)+IF(MOD(A52,7)=0,'参数'!$D$66,0)</x:f>
        <x:v>0</x:v>
      </x:c>
      <x:c r="O52" s="10" t="n">
        <x:f>N52+INT((P51+M52)/'参数'!$D$61)</x:f>
        <x:v>0</x:v>
      </x:c>
      <x:c r="P52" s="10" t="n">
        <x:f>P51+M52-(O52-N52)*'参数'!$D$61</x:f>
        <x:v>0</x:v>
      </x:c>
      <x:c r="Q52" s="10" t="n">
        <x:f>IF(OR(A52=1,A52=31,A52=61),'参数'!$D$70*'参数'!$D$60,0)</x:f>
        <x:v>0</x:v>
      </x:c>
      <x:c r="R52" s="10" t="n">
        <x:f>R51+Q52</x:f>
        <x:v>0</x:v>
      </x:c>
      <x:c r="S52" s="10" t="n">
        <x:f>S51+O52</x:f>
        <x:v>25</x:v>
      </x:c>
      <x:c r="T52" s="10" t="n">
        <x:f>O52*2+IF(MOD(A52,7)=0,'参数'!$D$68,0)+IF(A52=7,'参数'!$D$69,0)</x:f>
        <x:v>0</x:v>
      </x:c>
      <x:c r="U52" s="10" t="n">
        <x:f>IF(A52=90,160,0)</x:f>
        <x:v>0</x:v>
      </x:c>
      <x:c r="V52" s="10" t="n">
        <x:f>IF(W51+T52&gt;=U52,U52,0)</x:f>
        <x:v>0</x:v>
      </x:c>
      <x:c r="W52" s="10" t="n">
        <x:f>W51+T52-V52</x:f>
        <x:v>90</x:v>
      </x:c>
    </x:row>
    <x:row r="53" ht="48" customHeight="1">
      <x:c r="A53" s="9" t="n">
        <x:v>47</x:v>
      </x:c>
      <x:c r="B53" s="9" t="n">
        <x:f>L52</x:f>
        <x:v>7110</x:v>
      </x:c>
      <x:c r="C53" s="9" t="n">
        <x:f>'参数'!$D$7*'参数'!$D$11*'参数'!$D$15</x:f>
        <x:v>720</x:v>
      </x:c>
      <x:c r="D53" s="9" t="n">
        <x:f>'参数'!$D$7*'参数'!$D$19</x:f>
        <x:v>240</x:v>
      </x:c>
      <x:c r="E53" s="9" t="n">
        <x:f>'参数'!$D$23*'参数'!$D$53+IF(MOD(A53,7)=0,'参数'!$D$54,0)</x:f>
        <x:v>40</x:v>
      </x:c>
      <x:c r="F53" s="9" t="n">
        <x:f>(INT(A53*'参数'!$D$35/7)-INT((A53-1)*'参数'!$D$35/7))*IF(A53&lt;=30,'参数'!$D$56,IF(A53&lt;=60,'参数'!$D$57,'参数'!$D$58))+IF(A53=1,60,0)</x:f>
        <x:v>360</x:v>
      </x:c>
      <x:c r="G53" s="9" t="n">
        <x:f>(INT(A53*'参数'!$D$27)-INT((A53-1)*'参数'!$D$27))*'参数'!$D$55</x:f>
        <x:v>35</x:v>
      </x:c>
      <x:c r="H53" s="9" t="n">
        <x:f>'参数'!$D$31</x:f>
        <x:v>10</x:v>
      </x:c>
      <x:c r="I53" s="9" t="n">
        <x:f>(INT(A53*'参数'!$D$39/7)-INT((A53-1)*'参数'!$D$39/7))*'参数'!$D$59</x:f>
        <x:v>0</x:v>
      </x:c>
      <x:c r="J53" s="9" t="n">
        <x:f>IF(A53=30,4000,IF(A53=60,6000,IF(A53=90,9000,IF(MOD(A53,7)=0,'参数'!$D$43,0))))</x:f>
        <x:v>0</x:v>
      </x:c>
      <x:c r="K53" s="9" t="n">
        <x:f>IF(B53+C53-D53+E53-F53-G53-H53-I53-'参数'!$D$52&gt;=J53,J53,0)</x:f>
        <x:v>0</x:v>
      </x:c>
      <x:c r="L53" s="9" t="n">
        <x:f>B53+C53-D53+E53-F53-G53-H53-I53-K53</x:f>
        <x:v>7225</x:v>
      </x:c>
      <x:c r="M53" s="9" t="n">
        <x:f>IF(A53=1,'参数'!$D$64,0)+IF(MOD(A53,7)=0,'参数'!$D$62,0)+IF(MOD(A53,30)=0,'参数'!$D$63,0)</x:f>
        <x:v>0</x:v>
      </x:c>
      <x:c r="N53" s="9" t="n">
        <x:f>IF(OR(A53=1,A53=7),'参数'!$D$65/2,0)+IF(MOD(A53,7)=0,'参数'!$D$66,0)</x:f>
        <x:v>0</x:v>
      </x:c>
      <x:c r="O53" s="9" t="n">
        <x:f>N53+INT((P52+M53)/'参数'!$D$61)</x:f>
        <x:v>0</x:v>
      </x:c>
      <x:c r="P53" s="9" t="n">
        <x:f>P52+M53-(O53-N53)*'参数'!$D$61</x:f>
        <x:v>0</x:v>
      </x:c>
      <x:c r="Q53" s="9" t="n">
        <x:f>IF(OR(A53=1,A53=31,A53=61),'参数'!$D$70*'参数'!$D$60,0)</x:f>
        <x:v>0</x:v>
      </x:c>
      <x:c r="R53" s="9" t="n">
        <x:f>R52+Q53</x:f>
        <x:v>0</x:v>
      </x:c>
      <x:c r="S53" s="9" t="n">
        <x:f>S52+O53</x:f>
        <x:v>25</x:v>
      </x:c>
      <x:c r="T53" s="9" t="n">
        <x:f>O53*2+IF(MOD(A53,7)=0,'参数'!$D$68,0)+IF(A53=7,'参数'!$D$69,0)</x:f>
        <x:v>0</x:v>
      </x:c>
      <x:c r="U53" s="9" t="n">
        <x:f>IF(A53=90,160,0)</x:f>
        <x:v>0</x:v>
      </x:c>
      <x:c r="V53" s="9" t="n">
        <x:f>IF(W52+T53&gt;=U53,U53,0)</x:f>
        <x:v>0</x:v>
      </x:c>
      <x:c r="W53" s="9" t="n">
        <x:f>W52+T53-V53</x:f>
        <x:v>90</x:v>
      </x:c>
    </x:row>
    <x:row r="54" ht="48" customHeight="1">
      <x:c r="A54" s="10" t="n">
        <x:v>48</x:v>
      </x:c>
      <x:c r="B54" s="10" t="n">
        <x:f>L53</x:f>
        <x:v>7225</x:v>
      </x:c>
      <x:c r="C54" s="10" t="n">
        <x:f>'参数'!$D$7*'参数'!$D$11*'参数'!$D$15</x:f>
        <x:v>720</x:v>
      </x:c>
      <x:c r="D54" s="10" t="n">
        <x:f>'参数'!$D$7*'参数'!$D$19</x:f>
        <x:v>240</x:v>
      </x:c>
      <x:c r="E54" s="10" t="n">
        <x:f>'参数'!$D$23*'参数'!$D$53+IF(MOD(A54,7)=0,'参数'!$D$54,0)</x:f>
        <x:v>40</x:v>
      </x:c>
      <x:c r="F54" s="10" t="n">
        <x:f>(INT(A54*'参数'!$D$35/7)-INT((A54-1)*'参数'!$D$35/7))*IF(A54&lt;=30,'参数'!$D$56,IF(A54&lt;=60,'参数'!$D$57,'参数'!$D$58))+IF(A54=1,60,0)</x:f>
        <x:v>0</x:v>
      </x:c>
      <x:c r="G54" s="10" t="n">
        <x:f>(INT(A54*'参数'!$D$27)-INT((A54-1)*'参数'!$D$27))*'参数'!$D$55</x:f>
        <x:v>35</x:v>
      </x:c>
      <x:c r="H54" s="10" t="n">
        <x:f>'参数'!$D$31</x:f>
        <x:v>10</x:v>
      </x:c>
      <x:c r="I54" s="10" t="n">
        <x:f>(INT(A54*'参数'!$D$39/7)-INT((A54-1)*'参数'!$D$39/7))*'参数'!$D$59</x:f>
        <x:v>0</x:v>
      </x:c>
      <x:c r="J54" s="10" t="n">
        <x:f>IF(A54=30,4000,IF(A54=60,6000,IF(A54=90,9000,IF(MOD(A54,7)=0,'参数'!$D$43,0))))</x:f>
        <x:v>0</x:v>
      </x:c>
      <x:c r="K54" s="10" t="n">
        <x:f>IF(B54+C54-D54+E54-F54-G54-H54-I54-'参数'!$D$52&gt;=J54,J54,0)</x:f>
        <x:v>0</x:v>
      </x:c>
      <x:c r="L54" s="10" t="n">
        <x:f>B54+C54-D54+E54-F54-G54-H54-I54-K54</x:f>
        <x:v>7700</x:v>
      </x:c>
      <x:c r="M54" s="10" t="n">
        <x:f>IF(A54=1,'参数'!$D$64,0)+IF(MOD(A54,7)=0,'参数'!$D$62,0)+IF(MOD(A54,30)=0,'参数'!$D$63,0)</x:f>
        <x:v>0</x:v>
      </x:c>
      <x:c r="N54" s="10" t="n">
        <x:f>IF(OR(A54=1,A54=7),'参数'!$D$65/2,0)+IF(MOD(A54,7)=0,'参数'!$D$66,0)</x:f>
        <x:v>0</x:v>
      </x:c>
      <x:c r="O54" s="10" t="n">
        <x:f>N54+INT((P53+M54)/'参数'!$D$61)</x:f>
        <x:v>0</x:v>
      </x:c>
      <x:c r="P54" s="10" t="n">
        <x:f>P53+M54-(O54-N54)*'参数'!$D$61</x:f>
        <x:v>0</x:v>
      </x:c>
      <x:c r="Q54" s="10" t="n">
        <x:f>IF(OR(A54=1,A54=31,A54=61),'参数'!$D$70*'参数'!$D$60,0)</x:f>
        <x:v>0</x:v>
      </x:c>
      <x:c r="R54" s="10" t="n">
        <x:f>R53+Q54</x:f>
        <x:v>0</x:v>
      </x:c>
      <x:c r="S54" s="10" t="n">
        <x:f>S53+O54</x:f>
        <x:v>25</x:v>
      </x:c>
      <x:c r="T54" s="10" t="n">
        <x:f>O54*2+IF(MOD(A54,7)=0,'参数'!$D$68,0)+IF(A54=7,'参数'!$D$69,0)</x:f>
        <x:v>0</x:v>
      </x:c>
      <x:c r="U54" s="10" t="n">
        <x:f>IF(A54=90,160,0)</x:f>
        <x:v>0</x:v>
      </x:c>
      <x:c r="V54" s="10" t="n">
        <x:f>IF(W53+T54&gt;=U54,U54,0)</x:f>
        <x:v>0</x:v>
      </x:c>
      <x:c r="W54" s="10" t="n">
        <x:f>W53+T54-V54</x:f>
        <x:v>90</x:v>
      </x:c>
    </x:row>
    <x:row r="55" ht="48" customHeight="1">
      <x:c r="A55" s="9" t="n">
        <x:v>49</x:v>
      </x:c>
      <x:c r="B55" s="9" t="n">
        <x:f>L54</x:f>
        <x:v>7700</x:v>
      </x:c>
      <x:c r="C55" s="9" t="n">
        <x:f>'参数'!$D$7*'参数'!$D$11*'参数'!$D$15</x:f>
        <x:v>720</x:v>
      </x:c>
      <x:c r="D55" s="9" t="n">
        <x:f>'参数'!$D$7*'参数'!$D$19</x:f>
        <x:v>240</x:v>
      </x:c>
      <x:c r="E55" s="9" t="n">
        <x:f>'参数'!$D$23*'参数'!$D$53+IF(MOD(A55,7)=0,'参数'!$D$54,0)</x:f>
        <x:v>180</x:v>
      </x:c>
      <x:c r="F55" s="9" t="n">
        <x:f>(INT(A55*'参数'!$D$35/7)-INT((A55-1)*'参数'!$D$35/7))*IF(A55&lt;=30,'参数'!$D$56,IF(A55&lt;=60,'参数'!$D$57,'参数'!$D$58))+IF(A55=1,60,0)</x:f>
        <x:v>360</x:v>
      </x:c>
      <x:c r="G55" s="9" t="n">
        <x:f>(INT(A55*'参数'!$D$27)-INT((A55-1)*'参数'!$D$27))*'参数'!$D$55</x:f>
        <x:v>35</x:v>
      </x:c>
      <x:c r="H55" s="9" t="n">
        <x:f>'参数'!$D$31</x:f>
        <x:v>10</x:v>
      </x:c>
      <x:c r="I55" s="9" t="n">
        <x:f>(INT(A55*'参数'!$D$39/7)-INT((A55-1)*'参数'!$D$39/7))*'参数'!$D$59</x:f>
        <x:v>300</x:v>
      </x:c>
      <x:c r="J55" s="9" t="n">
        <x:f>IF(A55=30,4000,IF(A55=60,6000,IF(A55=90,9000,IF(MOD(A55,7)=0,'参数'!$D$43,0))))</x:f>
        <x:v>900</x:v>
      </x:c>
      <x:c r="K55" s="9" t="n">
        <x:f>IF(B55+C55-D55+E55-F55-G55-H55-I55-'参数'!$D$52&gt;=J55,J55,0)</x:f>
        <x:v>900</x:v>
      </x:c>
      <x:c r="L55" s="9" t="n">
        <x:f>B55+C55-D55+E55-F55-G55-H55-I55-K55</x:f>
        <x:v>6755</x:v>
      </x:c>
      <x:c r="M55" s="9" t="n">
        <x:f>IF(A55=1,'参数'!$D$64,0)+IF(MOD(A55,7)=0,'参数'!$D$62,0)+IF(MOD(A55,30)=0,'参数'!$D$63,0)</x:f>
        <x:v>60</x:v>
      </x:c>
      <x:c r="N55" s="9" t="n">
        <x:f>IF(OR(A55=1,A55=7),'参数'!$D$65/2,0)+IF(MOD(A55,7)=0,'参数'!$D$66,0)</x:f>
        <x:v>1</x:v>
      </x:c>
      <x:c r="O55" s="9" t="n">
        <x:f>N55+INT((P54+M55)/'参数'!$D$61)</x:f>
        <x:v>2</x:v>
      </x:c>
      <x:c r="P55" s="9" t="n">
        <x:f>P54+M55-(O55-N55)*'参数'!$D$61</x:f>
        <x:v>0</x:v>
      </x:c>
      <x:c r="Q55" s="9" t="n">
        <x:f>IF(OR(A55=1,A55=31,A55=61),'参数'!$D$70*'参数'!$D$60,0)</x:f>
        <x:v>0</x:v>
      </x:c>
      <x:c r="R55" s="9" t="n">
        <x:f>R54+Q55</x:f>
        <x:v>0</x:v>
      </x:c>
      <x:c r="S55" s="9" t="n">
        <x:f>S54+O55</x:f>
        <x:v>27</x:v>
      </x:c>
      <x:c r="T55" s="9" t="n">
        <x:f>O55*2+IF(MOD(A55,7)=0,'参数'!$D$68,0)+IF(A55=7,'参数'!$D$69,0)</x:f>
        <x:v>9</x:v>
      </x:c>
      <x:c r="U55" s="9" t="n">
        <x:f>IF(A55=90,160,0)</x:f>
        <x:v>0</x:v>
      </x:c>
      <x:c r="V55" s="9" t="n">
        <x:f>IF(W54+T55&gt;=U55,U55,0)</x:f>
        <x:v>0</x:v>
      </x:c>
      <x:c r="W55" s="9" t="n">
        <x:f>W54+T55-V55</x:f>
        <x:v>99</x:v>
      </x:c>
    </x:row>
    <x:row r="56" ht="48" customHeight="1">
      <x:c r="A56" s="10" t="n">
        <x:v>50</x:v>
      </x:c>
      <x:c r="B56" s="10" t="n">
        <x:f>L55</x:f>
        <x:v>6755</x:v>
      </x:c>
      <x:c r="C56" s="10" t="n">
        <x:f>'参数'!$D$7*'参数'!$D$11*'参数'!$D$15</x:f>
        <x:v>720</x:v>
      </x:c>
      <x:c r="D56" s="10" t="n">
        <x:f>'参数'!$D$7*'参数'!$D$19</x:f>
        <x:v>240</x:v>
      </x:c>
      <x:c r="E56" s="10" t="n">
        <x:f>'参数'!$D$23*'参数'!$D$53+IF(MOD(A56,7)=0,'参数'!$D$54,0)</x:f>
        <x:v>40</x:v>
      </x:c>
      <x:c r="F56" s="10" t="n">
        <x:f>(INT(A56*'参数'!$D$35/7)-INT((A56-1)*'参数'!$D$35/7))*IF(A56&lt;=30,'参数'!$D$56,IF(A56&lt;=60,'参数'!$D$57,'参数'!$D$58))+IF(A56=1,60,0)</x:f>
        <x:v>0</x:v>
      </x:c>
      <x:c r="G56" s="10" t="n">
        <x:f>(INT(A56*'参数'!$D$27)-INT((A56-1)*'参数'!$D$27))*'参数'!$D$55</x:f>
        <x:v>35</x:v>
      </x:c>
      <x:c r="H56" s="10" t="n">
        <x:f>'参数'!$D$31</x:f>
        <x:v>10</x:v>
      </x:c>
      <x:c r="I56" s="10" t="n">
        <x:f>(INT(A56*'参数'!$D$39/7)-INT((A56-1)*'参数'!$D$39/7))*'参数'!$D$59</x:f>
        <x:v>0</x:v>
      </x:c>
      <x:c r="J56" s="10" t="n">
        <x:f>IF(A56=30,4000,IF(A56=60,6000,IF(A56=90,9000,IF(MOD(A56,7)=0,'参数'!$D$43,0))))</x:f>
        <x:v>0</x:v>
      </x:c>
      <x:c r="K56" s="10" t="n">
        <x:f>IF(B56+C56-D56+E56-F56-G56-H56-I56-'参数'!$D$52&gt;=J56,J56,0)</x:f>
        <x:v>0</x:v>
      </x:c>
      <x:c r="L56" s="10" t="n">
        <x:f>B56+C56-D56+E56-F56-G56-H56-I56-K56</x:f>
        <x:v>7230</x:v>
      </x:c>
      <x:c r="M56" s="10" t="n">
        <x:f>IF(A56=1,'参数'!$D$64,0)+IF(MOD(A56,7)=0,'参数'!$D$62,0)+IF(MOD(A56,30)=0,'参数'!$D$63,0)</x:f>
        <x:v>0</x:v>
      </x:c>
      <x:c r="N56" s="10" t="n">
        <x:f>IF(OR(A56=1,A56=7),'参数'!$D$65/2,0)+IF(MOD(A56,7)=0,'参数'!$D$66,0)</x:f>
        <x:v>0</x:v>
      </x:c>
      <x:c r="O56" s="10" t="n">
        <x:f>N56+INT((P55+M56)/'参数'!$D$61)</x:f>
        <x:v>0</x:v>
      </x:c>
      <x:c r="P56" s="10" t="n">
        <x:f>P55+M56-(O56-N56)*'参数'!$D$61</x:f>
        <x:v>0</x:v>
      </x:c>
      <x:c r="Q56" s="10" t="n">
        <x:f>IF(OR(A56=1,A56=31,A56=61),'参数'!$D$70*'参数'!$D$60,0)</x:f>
        <x:v>0</x:v>
      </x:c>
      <x:c r="R56" s="10" t="n">
        <x:f>R55+Q56</x:f>
        <x:v>0</x:v>
      </x:c>
      <x:c r="S56" s="10" t="n">
        <x:f>S55+O56</x:f>
        <x:v>27</x:v>
      </x:c>
      <x:c r="T56" s="10" t="n">
        <x:f>O56*2+IF(MOD(A56,7)=0,'参数'!$D$68,0)+IF(A56=7,'参数'!$D$69,0)</x:f>
        <x:v>0</x:v>
      </x:c>
      <x:c r="U56" s="10" t="n">
        <x:f>IF(A56=90,160,0)</x:f>
        <x:v>0</x:v>
      </x:c>
      <x:c r="V56" s="10" t="n">
        <x:f>IF(W55+T56&gt;=U56,U56,0)</x:f>
        <x:v>0</x:v>
      </x:c>
      <x:c r="W56" s="10" t="n">
        <x:f>W55+T56-V56</x:f>
        <x:v>99</x:v>
      </x:c>
    </x:row>
    <x:row r="57" ht="48" customHeight="1">
      <x:c r="A57" s="9" t="n">
        <x:v>51</x:v>
      </x:c>
      <x:c r="B57" s="9" t="n">
        <x:f>L56</x:f>
        <x:v>7230</x:v>
      </x:c>
      <x:c r="C57" s="9" t="n">
        <x:f>'参数'!$D$7*'参数'!$D$11*'参数'!$D$15</x:f>
        <x:v>720</x:v>
      </x:c>
      <x:c r="D57" s="9" t="n">
        <x:f>'参数'!$D$7*'参数'!$D$19</x:f>
        <x:v>240</x:v>
      </x:c>
      <x:c r="E57" s="9" t="n">
        <x:f>'参数'!$D$23*'参数'!$D$53+IF(MOD(A57,7)=0,'参数'!$D$54,0)</x:f>
        <x:v>40</x:v>
      </x:c>
      <x:c r="F57" s="9" t="n">
        <x:f>(INT(A57*'参数'!$D$35/7)-INT((A57-1)*'参数'!$D$35/7))*IF(A57&lt;=30,'参数'!$D$56,IF(A57&lt;=60,'参数'!$D$57,'参数'!$D$58))+IF(A57=1,60,0)</x:f>
        <x:v>0</x:v>
      </x:c>
      <x:c r="G57" s="9" t="n">
        <x:f>(INT(A57*'参数'!$D$27)-INT((A57-1)*'参数'!$D$27))*'参数'!$D$55</x:f>
        <x:v>35</x:v>
      </x:c>
      <x:c r="H57" s="9" t="n">
        <x:f>'参数'!$D$31</x:f>
        <x:v>10</x:v>
      </x:c>
      <x:c r="I57" s="9" t="n">
        <x:f>(INT(A57*'参数'!$D$39/7)-INT((A57-1)*'参数'!$D$39/7))*'参数'!$D$59</x:f>
        <x:v>0</x:v>
      </x:c>
      <x:c r="J57" s="9" t="n">
        <x:f>IF(A57=30,4000,IF(A57=60,6000,IF(A57=90,9000,IF(MOD(A57,7)=0,'参数'!$D$43,0))))</x:f>
        <x:v>0</x:v>
      </x:c>
      <x:c r="K57" s="9" t="n">
        <x:f>IF(B57+C57-D57+E57-F57-G57-H57-I57-'参数'!$D$52&gt;=J57,J57,0)</x:f>
        <x:v>0</x:v>
      </x:c>
      <x:c r="L57" s="9" t="n">
        <x:f>B57+C57-D57+E57-F57-G57-H57-I57-K57</x:f>
        <x:v>7705</x:v>
      </x:c>
      <x:c r="M57" s="9" t="n">
        <x:f>IF(A57=1,'参数'!$D$64,0)+IF(MOD(A57,7)=0,'参数'!$D$62,0)+IF(MOD(A57,30)=0,'参数'!$D$63,0)</x:f>
        <x:v>0</x:v>
      </x:c>
      <x:c r="N57" s="9" t="n">
        <x:f>IF(OR(A57=1,A57=7),'参数'!$D$65/2,0)+IF(MOD(A57,7)=0,'参数'!$D$66,0)</x:f>
        <x:v>0</x:v>
      </x:c>
      <x:c r="O57" s="9" t="n">
        <x:f>N57+INT((P56+M57)/'参数'!$D$61)</x:f>
        <x:v>0</x:v>
      </x:c>
      <x:c r="P57" s="9" t="n">
        <x:f>P56+M57-(O57-N57)*'参数'!$D$61</x:f>
        <x:v>0</x:v>
      </x:c>
      <x:c r="Q57" s="9" t="n">
        <x:f>IF(OR(A57=1,A57=31,A57=61),'参数'!$D$70*'参数'!$D$60,0)</x:f>
        <x:v>0</x:v>
      </x:c>
      <x:c r="R57" s="9" t="n">
        <x:f>R56+Q57</x:f>
        <x:v>0</x:v>
      </x:c>
      <x:c r="S57" s="9" t="n">
        <x:f>S56+O57</x:f>
        <x:v>27</x:v>
      </x:c>
      <x:c r="T57" s="9" t="n">
        <x:f>O57*2+IF(MOD(A57,7)=0,'参数'!$D$68,0)+IF(A57=7,'参数'!$D$69,0)</x:f>
        <x:v>0</x:v>
      </x:c>
      <x:c r="U57" s="9" t="n">
        <x:f>IF(A57=90,160,0)</x:f>
        <x:v>0</x:v>
      </x:c>
      <x:c r="V57" s="9" t="n">
        <x:f>IF(W56+T57&gt;=U57,U57,0)</x:f>
        <x:v>0</x:v>
      </x:c>
      <x:c r="W57" s="9" t="n">
        <x:f>W56+T57-V57</x:f>
        <x:v>99</x:v>
      </x:c>
    </x:row>
    <x:row r="58" ht="48" customHeight="1">
      <x:c r="A58" s="10" t="n">
        <x:v>52</x:v>
      </x:c>
      <x:c r="B58" s="10" t="n">
        <x:f>L57</x:f>
        <x:v>7705</x:v>
      </x:c>
      <x:c r="C58" s="10" t="n">
        <x:f>'参数'!$D$7*'参数'!$D$11*'参数'!$D$15</x:f>
        <x:v>720</x:v>
      </x:c>
      <x:c r="D58" s="10" t="n">
        <x:f>'参数'!$D$7*'参数'!$D$19</x:f>
        <x:v>240</x:v>
      </x:c>
      <x:c r="E58" s="10" t="n">
        <x:f>'参数'!$D$23*'参数'!$D$53+IF(MOD(A58,7)=0,'参数'!$D$54,0)</x:f>
        <x:v>40</x:v>
      </x:c>
      <x:c r="F58" s="10" t="n">
        <x:f>(INT(A58*'参数'!$D$35/7)-INT((A58-1)*'参数'!$D$35/7))*IF(A58&lt;=30,'参数'!$D$56,IF(A58&lt;=60,'参数'!$D$57,'参数'!$D$58))+IF(A58=1,60,0)</x:f>
        <x:v>360</x:v>
      </x:c>
      <x:c r="G58" s="10" t="n">
        <x:f>(INT(A58*'参数'!$D$27)-INT((A58-1)*'参数'!$D$27))*'参数'!$D$55</x:f>
        <x:v>35</x:v>
      </x:c>
      <x:c r="H58" s="10" t="n">
        <x:f>'参数'!$D$31</x:f>
        <x:v>10</x:v>
      </x:c>
      <x:c r="I58" s="10" t="n">
        <x:f>(INT(A58*'参数'!$D$39/7)-INT((A58-1)*'参数'!$D$39/7))*'参数'!$D$59</x:f>
        <x:v>0</x:v>
      </x:c>
      <x:c r="J58" s="10" t="n">
        <x:f>IF(A58=30,4000,IF(A58=60,6000,IF(A58=90,9000,IF(MOD(A58,7)=0,'参数'!$D$43,0))))</x:f>
        <x:v>0</x:v>
      </x:c>
      <x:c r="K58" s="10" t="n">
        <x:f>IF(B58+C58-D58+E58-F58-G58-H58-I58-'参数'!$D$52&gt;=J58,J58,0)</x:f>
        <x:v>0</x:v>
      </x:c>
      <x:c r="L58" s="10" t="n">
        <x:f>B58+C58-D58+E58-F58-G58-H58-I58-K58</x:f>
        <x:v>7820</x:v>
      </x:c>
      <x:c r="M58" s="10" t="n">
        <x:f>IF(A58=1,'参数'!$D$64,0)+IF(MOD(A58,7)=0,'参数'!$D$62,0)+IF(MOD(A58,30)=0,'参数'!$D$63,0)</x:f>
        <x:v>0</x:v>
      </x:c>
      <x:c r="N58" s="10" t="n">
        <x:f>IF(OR(A58=1,A58=7),'参数'!$D$65/2,0)+IF(MOD(A58,7)=0,'参数'!$D$66,0)</x:f>
        <x:v>0</x:v>
      </x:c>
      <x:c r="O58" s="10" t="n">
        <x:f>N58+INT((P57+M58)/'参数'!$D$61)</x:f>
        <x:v>0</x:v>
      </x:c>
      <x:c r="P58" s="10" t="n">
        <x:f>P57+M58-(O58-N58)*'参数'!$D$61</x:f>
        <x:v>0</x:v>
      </x:c>
      <x:c r="Q58" s="10" t="n">
        <x:f>IF(OR(A58=1,A58=31,A58=61),'参数'!$D$70*'参数'!$D$60,0)</x:f>
        <x:v>0</x:v>
      </x:c>
      <x:c r="R58" s="10" t="n">
        <x:f>R57+Q58</x:f>
        <x:v>0</x:v>
      </x:c>
      <x:c r="S58" s="10" t="n">
        <x:f>S57+O58</x:f>
        <x:v>27</x:v>
      </x:c>
      <x:c r="T58" s="10" t="n">
        <x:f>O58*2+IF(MOD(A58,7)=0,'参数'!$D$68,0)+IF(A58=7,'参数'!$D$69,0)</x:f>
        <x:v>0</x:v>
      </x:c>
      <x:c r="U58" s="10" t="n">
        <x:f>IF(A58=90,160,0)</x:f>
        <x:v>0</x:v>
      </x:c>
      <x:c r="V58" s="10" t="n">
        <x:f>IF(W57+T58&gt;=U58,U58,0)</x:f>
        <x:v>0</x:v>
      </x:c>
      <x:c r="W58" s="10" t="n">
        <x:f>W57+T58-V58</x:f>
        <x:v>99</x:v>
      </x:c>
    </x:row>
    <x:row r="59" ht="48" customHeight="1">
      <x:c r="A59" s="9" t="n">
        <x:v>53</x:v>
      </x:c>
      <x:c r="B59" s="9" t="n">
        <x:f>L58</x:f>
        <x:v>7820</x:v>
      </x:c>
      <x:c r="C59" s="9" t="n">
        <x:f>'参数'!$D$7*'参数'!$D$11*'参数'!$D$15</x:f>
        <x:v>720</x:v>
      </x:c>
      <x:c r="D59" s="9" t="n">
        <x:f>'参数'!$D$7*'参数'!$D$19</x:f>
        <x:v>240</x:v>
      </x:c>
      <x:c r="E59" s="9" t="n">
        <x:f>'参数'!$D$23*'参数'!$D$53+IF(MOD(A59,7)=0,'参数'!$D$54,0)</x:f>
        <x:v>40</x:v>
      </x:c>
      <x:c r="F59" s="9" t="n">
        <x:f>(INT(A59*'参数'!$D$35/7)-INT((A59-1)*'参数'!$D$35/7))*IF(A59&lt;=30,'参数'!$D$56,IF(A59&lt;=60,'参数'!$D$57,'参数'!$D$58))+IF(A59=1,60,0)</x:f>
        <x:v>0</x:v>
      </x:c>
      <x:c r="G59" s="9" t="n">
        <x:f>(INT(A59*'参数'!$D$27)-INT((A59-1)*'参数'!$D$27))*'参数'!$D$55</x:f>
        <x:v>35</x:v>
      </x:c>
      <x:c r="H59" s="9" t="n">
        <x:f>'参数'!$D$31</x:f>
        <x:v>10</x:v>
      </x:c>
      <x:c r="I59" s="9" t="n">
        <x:f>(INT(A59*'参数'!$D$39/7)-INT((A59-1)*'参数'!$D$39/7))*'参数'!$D$59</x:f>
        <x:v>0</x:v>
      </x:c>
      <x:c r="J59" s="9" t="n">
        <x:f>IF(A59=30,4000,IF(A59=60,6000,IF(A59=90,9000,IF(MOD(A59,7)=0,'参数'!$D$43,0))))</x:f>
        <x:v>0</x:v>
      </x:c>
      <x:c r="K59" s="9" t="n">
        <x:f>IF(B59+C59-D59+E59-F59-G59-H59-I59-'参数'!$D$52&gt;=J59,J59,0)</x:f>
        <x:v>0</x:v>
      </x:c>
      <x:c r="L59" s="9" t="n">
        <x:f>B59+C59-D59+E59-F59-G59-H59-I59-K59</x:f>
        <x:v>8295</x:v>
      </x:c>
      <x:c r="M59" s="9" t="n">
        <x:f>IF(A59=1,'参数'!$D$64,0)+IF(MOD(A59,7)=0,'参数'!$D$62,0)+IF(MOD(A59,30)=0,'参数'!$D$63,0)</x:f>
        <x:v>0</x:v>
      </x:c>
      <x:c r="N59" s="9" t="n">
        <x:f>IF(OR(A59=1,A59=7),'参数'!$D$65/2,0)+IF(MOD(A59,7)=0,'参数'!$D$66,0)</x:f>
        <x:v>0</x:v>
      </x:c>
      <x:c r="O59" s="9" t="n">
        <x:f>N59+INT((P58+M59)/'参数'!$D$61)</x:f>
        <x:v>0</x:v>
      </x:c>
      <x:c r="P59" s="9" t="n">
        <x:f>P58+M59-(O59-N59)*'参数'!$D$61</x:f>
        <x:v>0</x:v>
      </x:c>
      <x:c r="Q59" s="9" t="n">
        <x:f>IF(OR(A59=1,A59=31,A59=61),'参数'!$D$70*'参数'!$D$60,0)</x:f>
        <x:v>0</x:v>
      </x:c>
      <x:c r="R59" s="9" t="n">
        <x:f>R58+Q59</x:f>
        <x:v>0</x:v>
      </x:c>
      <x:c r="S59" s="9" t="n">
        <x:f>S58+O59</x:f>
        <x:v>27</x:v>
      </x:c>
      <x:c r="T59" s="9" t="n">
        <x:f>O59*2+IF(MOD(A59,7)=0,'参数'!$D$68,0)+IF(A59=7,'参数'!$D$69,0)</x:f>
        <x:v>0</x:v>
      </x:c>
      <x:c r="U59" s="9" t="n">
        <x:f>IF(A59=90,160,0)</x:f>
        <x:v>0</x:v>
      </x:c>
      <x:c r="V59" s="9" t="n">
        <x:f>IF(W58+T59&gt;=U59,U59,0)</x:f>
        <x:v>0</x:v>
      </x:c>
      <x:c r="W59" s="9" t="n">
        <x:f>W58+T59-V59</x:f>
        <x:v>99</x:v>
      </x:c>
    </x:row>
    <x:row r="60" ht="48" customHeight="1">
      <x:c r="A60" s="10" t="n">
        <x:v>54</x:v>
      </x:c>
      <x:c r="B60" s="10" t="n">
        <x:f>L59</x:f>
        <x:v>8295</x:v>
      </x:c>
      <x:c r="C60" s="10" t="n">
        <x:f>'参数'!$D$7*'参数'!$D$11*'参数'!$D$15</x:f>
        <x:v>720</x:v>
      </x:c>
      <x:c r="D60" s="10" t="n">
        <x:f>'参数'!$D$7*'参数'!$D$19</x:f>
        <x:v>240</x:v>
      </x:c>
      <x:c r="E60" s="10" t="n">
        <x:f>'参数'!$D$23*'参数'!$D$53+IF(MOD(A60,7)=0,'参数'!$D$54,0)</x:f>
        <x:v>40</x:v>
      </x:c>
      <x:c r="F60" s="10" t="n">
        <x:f>(INT(A60*'参数'!$D$35/7)-INT((A60-1)*'参数'!$D$35/7))*IF(A60&lt;=30,'参数'!$D$56,IF(A60&lt;=60,'参数'!$D$57,'参数'!$D$58))+IF(A60=1,60,0)</x:f>
        <x:v>360</x:v>
      </x:c>
      <x:c r="G60" s="10" t="n">
        <x:f>(INT(A60*'参数'!$D$27)-INT((A60-1)*'参数'!$D$27))*'参数'!$D$55</x:f>
        <x:v>35</x:v>
      </x:c>
      <x:c r="H60" s="10" t="n">
        <x:f>'参数'!$D$31</x:f>
        <x:v>10</x:v>
      </x:c>
      <x:c r="I60" s="10" t="n">
        <x:f>(INT(A60*'参数'!$D$39/7)-INT((A60-1)*'参数'!$D$39/7))*'参数'!$D$59</x:f>
        <x:v>0</x:v>
      </x:c>
      <x:c r="J60" s="10" t="n">
        <x:f>IF(A60=30,4000,IF(A60=60,6000,IF(A60=90,9000,IF(MOD(A60,7)=0,'参数'!$D$43,0))))</x:f>
        <x:v>0</x:v>
      </x:c>
      <x:c r="K60" s="10" t="n">
        <x:f>IF(B60+C60-D60+E60-F60-G60-H60-I60-'参数'!$D$52&gt;=J60,J60,0)</x:f>
        <x:v>0</x:v>
      </x:c>
      <x:c r="L60" s="10" t="n">
        <x:f>B60+C60-D60+E60-F60-G60-H60-I60-K60</x:f>
        <x:v>8410</x:v>
      </x:c>
      <x:c r="M60" s="10" t="n">
        <x:f>IF(A60=1,'参数'!$D$64,0)+IF(MOD(A60,7)=0,'参数'!$D$62,0)+IF(MOD(A60,30)=0,'参数'!$D$63,0)</x:f>
        <x:v>0</x:v>
      </x:c>
      <x:c r="N60" s="10" t="n">
        <x:f>IF(OR(A60=1,A60=7),'参数'!$D$65/2,0)+IF(MOD(A60,7)=0,'参数'!$D$66,0)</x:f>
        <x:v>0</x:v>
      </x:c>
      <x:c r="O60" s="10" t="n">
        <x:f>N60+INT((P59+M60)/'参数'!$D$61)</x:f>
        <x:v>0</x:v>
      </x:c>
      <x:c r="P60" s="10" t="n">
        <x:f>P59+M60-(O60-N60)*'参数'!$D$61</x:f>
        <x:v>0</x:v>
      </x:c>
      <x:c r="Q60" s="10" t="n">
        <x:f>IF(OR(A60=1,A60=31,A60=61),'参数'!$D$70*'参数'!$D$60,0)</x:f>
        <x:v>0</x:v>
      </x:c>
      <x:c r="R60" s="10" t="n">
        <x:f>R59+Q60</x:f>
        <x:v>0</x:v>
      </x:c>
      <x:c r="S60" s="10" t="n">
        <x:f>S59+O60</x:f>
        <x:v>27</x:v>
      </x:c>
      <x:c r="T60" s="10" t="n">
        <x:f>O60*2+IF(MOD(A60,7)=0,'参数'!$D$68,0)+IF(A60=7,'参数'!$D$69,0)</x:f>
        <x:v>0</x:v>
      </x:c>
      <x:c r="U60" s="10" t="n">
        <x:f>IF(A60=90,160,0)</x:f>
        <x:v>0</x:v>
      </x:c>
      <x:c r="V60" s="10" t="n">
        <x:f>IF(W59+T60&gt;=U60,U60,0)</x:f>
        <x:v>0</x:v>
      </x:c>
      <x:c r="W60" s="10" t="n">
        <x:f>W59+T60-V60</x:f>
        <x:v>99</x:v>
      </x:c>
    </x:row>
    <x:row r="61" ht="48" customHeight="1">
      <x:c r="A61" s="9" t="n">
        <x:v>55</x:v>
      </x:c>
      <x:c r="B61" s="9" t="n">
        <x:f>L60</x:f>
        <x:v>8410</x:v>
      </x:c>
      <x:c r="C61" s="9" t="n">
        <x:f>'参数'!$D$7*'参数'!$D$11*'参数'!$D$15</x:f>
        <x:v>720</x:v>
      </x:c>
      <x:c r="D61" s="9" t="n">
        <x:f>'参数'!$D$7*'参数'!$D$19</x:f>
        <x:v>240</x:v>
      </x:c>
      <x:c r="E61" s="9" t="n">
        <x:f>'参数'!$D$23*'参数'!$D$53+IF(MOD(A61,7)=0,'参数'!$D$54,0)</x:f>
        <x:v>40</x:v>
      </x:c>
      <x:c r="F61" s="9" t="n">
        <x:f>(INT(A61*'参数'!$D$35/7)-INT((A61-1)*'参数'!$D$35/7))*IF(A61&lt;=30,'参数'!$D$56,IF(A61&lt;=60,'参数'!$D$57,'参数'!$D$58))+IF(A61=1,60,0)</x:f>
        <x:v>0</x:v>
      </x:c>
      <x:c r="G61" s="9" t="n">
        <x:f>(INT(A61*'参数'!$D$27)-INT((A61-1)*'参数'!$D$27))*'参数'!$D$55</x:f>
        <x:v>35</x:v>
      </x:c>
      <x:c r="H61" s="9" t="n">
        <x:f>'参数'!$D$31</x:f>
        <x:v>10</x:v>
      </x:c>
      <x:c r="I61" s="9" t="n">
        <x:f>(INT(A61*'参数'!$D$39/7)-INT((A61-1)*'参数'!$D$39/7))*'参数'!$D$59</x:f>
        <x:v>0</x:v>
      </x:c>
      <x:c r="J61" s="9" t="n">
        <x:f>IF(A61=30,4000,IF(A61=60,6000,IF(A61=90,9000,IF(MOD(A61,7)=0,'参数'!$D$43,0))))</x:f>
        <x:v>0</x:v>
      </x:c>
      <x:c r="K61" s="9" t="n">
        <x:f>IF(B61+C61-D61+E61-F61-G61-H61-I61-'参数'!$D$52&gt;=J61,J61,0)</x:f>
        <x:v>0</x:v>
      </x:c>
      <x:c r="L61" s="9" t="n">
        <x:f>B61+C61-D61+E61-F61-G61-H61-I61-K61</x:f>
        <x:v>8885</x:v>
      </x:c>
      <x:c r="M61" s="9" t="n">
        <x:f>IF(A61=1,'参数'!$D$64,0)+IF(MOD(A61,7)=0,'参数'!$D$62,0)+IF(MOD(A61,30)=0,'参数'!$D$63,0)</x:f>
        <x:v>0</x:v>
      </x:c>
      <x:c r="N61" s="9" t="n">
        <x:f>IF(OR(A61=1,A61=7),'参数'!$D$65/2,0)+IF(MOD(A61,7)=0,'参数'!$D$66,0)</x:f>
        <x:v>0</x:v>
      </x:c>
      <x:c r="O61" s="9" t="n">
        <x:f>N61+INT((P60+M61)/'参数'!$D$61)</x:f>
        <x:v>0</x:v>
      </x:c>
      <x:c r="P61" s="9" t="n">
        <x:f>P60+M61-(O61-N61)*'参数'!$D$61</x:f>
        <x:v>0</x:v>
      </x:c>
      <x:c r="Q61" s="9" t="n">
        <x:f>IF(OR(A61=1,A61=31,A61=61),'参数'!$D$70*'参数'!$D$60,0)</x:f>
        <x:v>0</x:v>
      </x:c>
      <x:c r="R61" s="9" t="n">
        <x:f>R60+Q61</x:f>
        <x:v>0</x:v>
      </x:c>
      <x:c r="S61" s="9" t="n">
        <x:f>S60+O61</x:f>
        <x:v>27</x:v>
      </x:c>
      <x:c r="T61" s="9" t="n">
        <x:f>O61*2+IF(MOD(A61,7)=0,'参数'!$D$68,0)+IF(A61=7,'参数'!$D$69,0)</x:f>
        <x:v>0</x:v>
      </x:c>
      <x:c r="U61" s="9" t="n">
        <x:f>IF(A61=90,160,0)</x:f>
        <x:v>0</x:v>
      </x:c>
      <x:c r="V61" s="9" t="n">
        <x:f>IF(W60+T61&gt;=U61,U61,0)</x:f>
        <x:v>0</x:v>
      </x:c>
      <x:c r="W61" s="9" t="n">
        <x:f>W60+T61-V61</x:f>
        <x:v>99</x:v>
      </x:c>
    </x:row>
    <x:row r="62" ht="48" customHeight="1">
      <x:c r="A62" s="10" t="n">
        <x:v>56</x:v>
      </x:c>
      <x:c r="B62" s="10" t="n">
        <x:f>L61</x:f>
        <x:v>8885</x:v>
      </x:c>
      <x:c r="C62" s="10" t="n">
        <x:f>'参数'!$D$7*'参数'!$D$11*'参数'!$D$15</x:f>
        <x:v>720</x:v>
      </x:c>
      <x:c r="D62" s="10" t="n">
        <x:f>'参数'!$D$7*'参数'!$D$19</x:f>
        <x:v>240</x:v>
      </x:c>
      <x:c r="E62" s="10" t="n">
        <x:f>'参数'!$D$23*'参数'!$D$53+IF(MOD(A62,7)=0,'参数'!$D$54,0)</x:f>
        <x:v>180</x:v>
      </x:c>
      <x:c r="F62" s="10" t="n">
        <x:f>(INT(A62*'参数'!$D$35/7)-INT((A62-1)*'参数'!$D$35/7))*IF(A62&lt;=30,'参数'!$D$56,IF(A62&lt;=60,'参数'!$D$57,'参数'!$D$58))+IF(A62=1,60,0)</x:f>
        <x:v>360</x:v>
      </x:c>
      <x:c r="G62" s="10" t="n">
        <x:f>(INT(A62*'参数'!$D$27)-INT((A62-1)*'参数'!$D$27))*'参数'!$D$55</x:f>
        <x:v>35</x:v>
      </x:c>
      <x:c r="H62" s="10" t="n">
        <x:f>'参数'!$D$31</x:f>
        <x:v>10</x:v>
      </x:c>
      <x:c r="I62" s="10" t="n">
        <x:f>(INT(A62*'参数'!$D$39/7)-INT((A62-1)*'参数'!$D$39/7))*'参数'!$D$59</x:f>
        <x:v>300</x:v>
      </x:c>
      <x:c r="J62" s="10" t="n">
        <x:f>IF(A62=30,4000,IF(A62=60,6000,IF(A62=90,9000,IF(MOD(A62,7)=0,'参数'!$D$43,0))))</x:f>
        <x:v>900</x:v>
      </x:c>
      <x:c r="K62" s="10" t="n">
        <x:f>IF(B62+C62-D62+E62-F62-G62-H62-I62-'参数'!$D$52&gt;=J62,J62,0)</x:f>
        <x:v>900</x:v>
      </x:c>
      <x:c r="L62" s="10" t="n">
        <x:f>B62+C62-D62+E62-F62-G62-H62-I62-K62</x:f>
        <x:v>7940</x:v>
      </x:c>
      <x:c r="M62" s="10" t="n">
        <x:f>IF(A62=1,'参数'!$D$64,0)+IF(MOD(A62,7)=0,'参数'!$D$62,0)+IF(MOD(A62,30)=0,'参数'!$D$63,0)</x:f>
        <x:v>60</x:v>
      </x:c>
      <x:c r="N62" s="10" t="n">
        <x:f>IF(OR(A62=1,A62=7),'参数'!$D$65/2,0)+IF(MOD(A62,7)=0,'参数'!$D$66,0)</x:f>
        <x:v>1</x:v>
      </x:c>
      <x:c r="O62" s="10" t="n">
        <x:f>N62+INT((P61+M62)/'参数'!$D$61)</x:f>
        <x:v>2</x:v>
      </x:c>
      <x:c r="P62" s="10" t="n">
        <x:f>P61+M62-(O62-N62)*'参数'!$D$61</x:f>
        <x:v>0</x:v>
      </x:c>
      <x:c r="Q62" s="10" t="n">
        <x:f>IF(OR(A62=1,A62=31,A62=61),'参数'!$D$70*'参数'!$D$60,0)</x:f>
        <x:v>0</x:v>
      </x:c>
      <x:c r="R62" s="10" t="n">
        <x:f>R61+Q62</x:f>
        <x:v>0</x:v>
      </x:c>
      <x:c r="S62" s="10" t="n">
        <x:f>S61+O62</x:f>
        <x:v>29</x:v>
      </x:c>
      <x:c r="T62" s="10" t="n">
        <x:f>O62*2+IF(MOD(A62,7)=0,'参数'!$D$68,0)+IF(A62=7,'参数'!$D$69,0)</x:f>
        <x:v>9</x:v>
      </x:c>
      <x:c r="U62" s="10" t="n">
        <x:f>IF(A62=90,160,0)</x:f>
        <x:v>0</x:v>
      </x:c>
      <x:c r="V62" s="10" t="n">
        <x:f>IF(W61+T62&gt;=U62,U62,0)</x:f>
        <x:v>0</x:v>
      </x:c>
      <x:c r="W62" s="10" t="n">
        <x:f>W61+T62-V62</x:f>
        <x:v>108</x:v>
      </x:c>
    </x:row>
    <x:row r="63" ht="48" customHeight="1">
      <x:c r="A63" s="9" t="n">
        <x:v>57</x:v>
      </x:c>
      <x:c r="B63" s="9" t="n">
        <x:f>L62</x:f>
        <x:v>7940</x:v>
      </x:c>
      <x:c r="C63" s="9" t="n">
        <x:f>'参数'!$D$7*'参数'!$D$11*'参数'!$D$15</x:f>
        <x:v>720</x:v>
      </x:c>
      <x:c r="D63" s="9" t="n">
        <x:f>'参数'!$D$7*'参数'!$D$19</x:f>
        <x:v>240</x:v>
      </x:c>
      <x:c r="E63" s="9" t="n">
        <x:f>'参数'!$D$23*'参数'!$D$53+IF(MOD(A63,7)=0,'参数'!$D$54,0)</x:f>
        <x:v>40</x:v>
      </x:c>
      <x:c r="F63" s="9" t="n">
        <x:f>(INT(A63*'参数'!$D$35/7)-INT((A63-1)*'参数'!$D$35/7))*IF(A63&lt;=30,'参数'!$D$56,IF(A63&lt;=60,'参数'!$D$57,'参数'!$D$58))+IF(A63=1,60,0)</x:f>
        <x:v>0</x:v>
      </x:c>
      <x:c r="G63" s="9" t="n">
        <x:f>(INT(A63*'参数'!$D$27)-INT((A63-1)*'参数'!$D$27))*'参数'!$D$55</x:f>
        <x:v>35</x:v>
      </x:c>
      <x:c r="H63" s="9" t="n">
        <x:f>'参数'!$D$31</x:f>
        <x:v>10</x:v>
      </x:c>
      <x:c r="I63" s="9" t="n">
        <x:f>(INT(A63*'参数'!$D$39/7)-INT((A63-1)*'参数'!$D$39/7))*'参数'!$D$59</x:f>
        <x:v>0</x:v>
      </x:c>
      <x:c r="J63" s="9" t="n">
        <x:f>IF(A63=30,4000,IF(A63=60,6000,IF(A63=90,9000,IF(MOD(A63,7)=0,'参数'!$D$43,0))))</x:f>
        <x:v>0</x:v>
      </x:c>
      <x:c r="K63" s="9" t="n">
        <x:f>IF(B63+C63-D63+E63-F63-G63-H63-I63-'参数'!$D$52&gt;=J63,J63,0)</x:f>
        <x:v>0</x:v>
      </x:c>
      <x:c r="L63" s="9" t="n">
        <x:f>B63+C63-D63+E63-F63-G63-H63-I63-K63</x:f>
        <x:v>8415</x:v>
      </x:c>
      <x:c r="M63" s="9" t="n">
        <x:f>IF(A63=1,'参数'!$D$64,0)+IF(MOD(A63,7)=0,'参数'!$D$62,0)+IF(MOD(A63,30)=0,'参数'!$D$63,0)</x:f>
        <x:v>0</x:v>
      </x:c>
      <x:c r="N63" s="9" t="n">
        <x:f>IF(OR(A63=1,A63=7),'参数'!$D$65/2,0)+IF(MOD(A63,7)=0,'参数'!$D$66,0)</x:f>
        <x:v>0</x:v>
      </x:c>
      <x:c r="O63" s="9" t="n">
        <x:f>N63+INT((P62+M63)/'参数'!$D$61)</x:f>
        <x:v>0</x:v>
      </x:c>
      <x:c r="P63" s="9" t="n">
        <x:f>P62+M63-(O63-N63)*'参数'!$D$61</x:f>
        <x:v>0</x:v>
      </x:c>
      <x:c r="Q63" s="9" t="n">
        <x:f>IF(OR(A63=1,A63=31,A63=61),'参数'!$D$70*'参数'!$D$60,0)</x:f>
        <x:v>0</x:v>
      </x:c>
      <x:c r="R63" s="9" t="n">
        <x:f>R62+Q63</x:f>
        <x:v>0</x:v>
      </x:c>
      <x:c r="S63" s="9" t="n">
        <x:f>S62+O63</x:f>
        <x:v>29</x:v>
      </x:c>
      <x:c r="T63" s="9" t="n">
        <x:f>O63*2+IF(MOD(A63,7)=0,'参数'!$D$68,0)+IF(A63=7,'参数'!$D$69,0)</x:f>
        <x:v>0</x:v>
      </x:c>
      <x:c r="U63" s="9" t="n">
        <x:f>IF(A63=90,160,0)</x:f>
        <x:v>0</x:v>
      </x:c>
      <x:c r="V63" s="9" t="n">
        <x:f>IF(W62+T63&gt;=U63,U63,0)</x:f>
        <x:v>0</x:v>
      </x:c>
      <x:c r="W63" s="9" t="n">
        <x:f>W62+T63-V63</x:f>
        <x:v>108</x:v>
      </x:c>
    </x:row>
    <x:row r="64" ht="48" customHeight="1">
      <x:c r="A64" s="10" t="n">
        <x:v>58</x:v>
      </x:c>
      <x:c r="B64" s="10" t="n">
        <x:f>L63</x:f>
        <x:v>8415</x:v>
      </x:c>
      <x:c r="C64" s="10" t="n">
        <x:f>'参数'!$D$7*'参数'!$D$11*'参数'!$D$15</x:f>
        <x:v>720</x:v>
      </x:c>
      <x:c r="D64" s="10" t="n">
        <x:f>'参数'!$D$7*'参数'!$D$19</x:f>
        <x:v>240</x:v>
      </x:c>
      <x:c r="E64" s="10" t="n">
        <x:f>'参数'!$D$23*'参数'!$D$53+IF(MOD(A64,7)=0,'参数'!$D$54,0)</x:f>
        <x:v>40</x:v>
      </x:c>
      <x:c r="F64" s="10" t="n">
        <x:f>(INT(A64*'参数'!$D$35/7)-INT((A64-1)*'参数'!$D$35/7))*IF(A64&lt;=30,'参数'!$D$56,IF(A64&lt;=60,'参数'!$D$57,'参数'!$D$58))+IF(A64=1,60,0)</x:f>
        <x:v>0</x:v>
      </x:c>
      <x:c r="G64" s="10" t="n">
        <x:f>(INT(A64*'参数'!$D$27)-INT((A64-1)*'参数'!$D$27))*'参数'!$D$55</x:f>
        <x:v>35</x:v>
      </x:c>
      <x:c r="H64" s="10" t="n">
        <x:f>'参数'!$D$31</x:f>
        <x:v>10</x:v>
      </x:c>
      <x:c r="I64" s="10" t="n">
        <x:f>(INT(A64*'参数'!$D$39/7)-INT((A64-1)*'参数'!$D$39/7))*'参数'!$D$59</x:f>
        <x:v>0</x:v>
      </x:c>
      <x:c r="J64" s="10" t="n">
        <x:f>IF(A64=30,4000,IF(A64=60,6000,IF(A64=90,9000,IF(MOD(A64,7)=0,'参数'!$D$43,0))))</x:f>
        <x:v>0</x:v>
      </x:c>
      <x:c r="K64" s="10" t="n">
        <x:f>IF(B64+C64-D64+E64-F64-G64-H64-I64-'参数'!$D$52&gt;=J64,J64,0)</x:f>
        <x:v>0</x:v>
      </x:c>
      <x:c r="L64" s="10" t="n">
        <x:f>B64+C64-D64+E64-F64-G64-H64-I64-K64</x:f>
        <x:v>8890</x:v>
      </x:c>
      <x:c r="M64" s="10" t="n">
        <x:f>IF(A64=1,'参数'!$D$64,0)+IF(MOD(A64,7)=0,'参数'!$D$62,0)+IF(MOD(A64,30)=0,'参数'!$D$63,0)</x:f>
        <x:v>0</x:v>
      </x:c>
      <x:c r="N64" s="10" t="n">
        <x:f>IF(OR(A64=1,A64=7),'参数'!$D$65/2,0)+IF(MOD(A64,7)=0,'参数'!$D$66,0)</x:f>
        <x:v>0</x:v>
      </x:c>
      <x:c r="O64" s="10" t="n">
        <x:f>N64+INT((P63+M64)/'参数'!$D$61)</x:f>
        <x:v>0</x:v>
      </x:c>
      <x:c r="P64" s="10" t="n">
        <x:f>P63+M64-(O64-N64)*'参数'!$D$61</x:f>
        <x:v>0</x:v>
      </x:c>
      <x:c r="Q64" s="10" t="n">
        <x:f>IF(OR(A64=1,A64=31,A64=61),'参数'!$D$70*'参数'!$D$60,0)</x:f>
        <x:v>0</x:v>
      </x:c>
      <x:c r="R64" s="10" t="n">
        <x:f>R63+Q64</x:f>
        <x:v>0</x:v>
      </x:c>
      <x:c r="S64" s="10" t="n">
        <x:f>S63+O64</x:f>
        <x:v>29</x:v>
      </x:c>
      <x:c r="T64" s="10" t="n">
        <x:f>O64*2+IF(MOD(A64,7)=0,'参数'!$D$68,0)+IF(A64=7,'参数'!$D$69,0)</x:f>
        <x:v>0</x:v>
      </x:c>
      <x:c r="U64" s="10" t="n">
        <x:f>IF(A64=90,160,0)</x:f>
        <x:v>0</x:v>
      </x:c>
      <x:c r="V64" s="10" t="n">
        <x:f>IF(W63+T64&gt;=U64,U64,0)</x:f>
        <x:v>0</x:v>
      </x:c>
      <x:c r="W64" s="10" t="n">
        <x:f>W63+T64-V64</x:f>
        <x:v>108</x:v>
      </x:c>
    </x:row>
    <x:row r="65" ht="48" customHeight="1">
      <x:c r="A65" s="9" t="n">
        <x:v>59</x:v>
      </x:c>
      <x:c r="B65" s="9" t="n">
        <x:f>L64</x:f>
        <x:v>8890</x:v>
      </x:c>
      <x:c r="C65" s="9" t="n">
        <x:f>'参数'!$D$7*'参数'!$D$11*'参数'!$D$15</x:f>
        <x:v>720</x:v>
      </x:c>
      <x:c r="D65" s="9" t="n">
        <x:f>'参数'!$D$7*'参数'!$D$19</x:f>
        <x:v>240</x:v>
      </x:c>
      <x:c r="E65" s="9" t="n">
        <x:f>'参数'!$D$23*'参数'!$D$53+IF(MOD(A65,7)=0,'参数'!$D$54,0)</x:f>
        <x:v>40</x:v>
      </x:c>
      <x:c r="F65" s="9" t="n">
        <x:f>(INT(A65*'参数'!$D$35/7)-INT((A65-1)*'参数'!$D$35/7))*IF(A65&lt;=30,'参数'!$D$56,IF(A65&lt;=60,'参数'!$D$57,'参数'!$D$58))+IF(A65=1,60,0)</x:f>
        <x:v>360</x:v>
      </x:c>
      <x:c r="G65" s="9" t="n">
        <x:f>(INT(A65*'参数'!$D$27)-INT((A65-1)*'参数'!$D$27))*'参数'!$D$55</x:f>
        <x:v>35</x:v>
      </x:c>
      <x:c r="H65" s="9" t="n">
        <x:f>'参数'!$D$31</x:f>
        <x:v>10</x:v>
      </x:c>
      <x:c r="I65" s="9" t="n">
        <x:f>(INT(A65*'参数'!$D$39/7)-INT((A65-1)*'参数'!$D$39/7))*'参数'!$D$59</x:f>
        <x:v>0</x:v>
      </x:c>
      <x:c r="J65" s="9" t="n">
        <x:f>IF(A65=30,4000,IF(A65=60,6000,IF(A65=90,9000,IF(MOD(A65,7)=0,'参数'!$D$43,0))))</x:f>
        <x:v>0</x:v>
      </x:c>
      <x:c r="K65" s="9" t="n">
        <x:f>IF(B65+C65-D65+E65-F65-G65-H65-I65-'参数'!$D$52&gt;=J65,J65,0)</x:f>
        <x:v>0</x:v>
      </x:c>
      <x:c r="L65" s="9" t="n">
        <x:f>B65+C65-D65+E65-F65-G65-H65-I65-K65</x:f>
        <x:v>9005</x:v>
      </x:c>
      <x:c r="M65" s="9" t="n">
        <x:f>IF(A65=1,'参数'!$D$64,0)+IF(MOD(A65,7)=0,'参数'!$D$62,0)+IF(MOD(A65,30)=0,'参数'!$D$63,0)</x:f>
        <x:v>0</x:v>
      </x:c>
      <x:c r="N65" s="9" t="n">
        <x:f>IF(OR(A65=1,A65=7),'参数'!$D$65/2,0)+IF(MOD(A65,7)=0,'参数'!$D$66,0)</x:f>
        <x:v>0</x:v>
      </x:c>
      <x:c r="O65" s="9" t="n">
        <x:f>N65+INT((P64+M65)/'参数'!$D$61)</x:f>
        <x:v>0</x:v>
      </x:c>
      <x:c r="P65" s="9" t="n">
        <x:f>P64+M65-(O65-N65)*'参数'!$D$61</x:f>
        <x:v>0</x:v>
      </x:c>
      <x:c r="Q65" s="9" t="n">
        <x:f>IF(OR(A65=1,A65=31,A65=61),'参数'!$D$70*'参数'!$D$60,0)</x:f>
        <x:v>0</x:v>
      </x:c>
      <x:c r="R65" s="9" t="n">
        <x:f>R64+Q65</x:f>
        <x:v>0</x:v>
      </x:c>
      <x:c r="S65" s="9" t="n">
        <x:f>S64+O65</x:f>
        <x:v>29</x:v>
      </x:c>
      <x:c r="T65" s="9" t="n">
        <x:f>O65*2+IF(MOD(A65,7)=0,'参数'!$D$68,0)+IF(A65=7,'参数'!$D$69,0)</x:f>
        <x:v>0</x:v>
      </x:c>
      <x:c r="U65" s="9" t="n">
        <x:f>IF(A65=90,160,0)</x:f>
        <x:v>0</x:v>
      </x:c>
      <x:c r="V65" s="9" t="n">
        <x:f>IF(W64+T65&gt;=U65,U65,0)</x:f>
        <x:v>0</x:v>
      </x:c>
      <x:c r="W65" s="9" t="n">
        <x:f>W64+T65-V65</x:f>
        <x:v>108</x:v>
      </x:c>
    </x:row>
    <x:row r="66" ht="48" customHeight="1">
      <x:c r="A66" s="10" t="n">
        <x:v>60</x:v>
      </x:c>
      <x:c r="B66" s="10" t="n">
        <x:f>L65</x:f>
        <x:v>9005</x:v>
      </x:c>
      <x:c r="C66" s="10" t="n">
        <x:f>'参数'!$D$7*'参数'!$D$11*'参数'!$D$15</x:f>
        <x:v>720</x:v>
      </x:c>
      <x:c r="D66" s="10" t="n">
        <x:f>'参数'!$D$7*'参数'!$D$19</x:f>
        <x:v>240</x:v>
      </x:c>
      <x:c r="E66" s="10" t="n">
        <x:f>'参数'!$D$23*'参数'!$D$53+IF(MOD(A66,7)=0,'参数'!$D$54,0)</x:f>
        <x:v>40</x:v>
      </x:c>
      <x:c r="F66" s="10" t="n">
        <x:f>(INT(A66*'参数'!$D$35/7)-INT((A66-1)*'参数'!$D$35/7))*IF(A66&lt;=30,'参数'!$D$56,IF(A66&lt;=60,'参数'!$D$57,'参数'!$D$58))+IF(A66=1,60,0)</x:f>
        <x:v>0</x:v>
      </x:c>
      <x:c r="G66" s="10" t="n">
        <x:f>(INT(A66*'参数'!$D$27)-INT((A66-1)*'参数'!$D$27))*'参数'!$D$55</x:f>
        <x:v>35</x:v>
      </x:c>
      <x:c r="H66" s="10" t="n">
        <x:f>'参数'!$D$31</x:f>
        <x:v>10</x:v>
      </x:c>
      <x:c r="I66" s="10" t="n">
        <x:f>(INT(A66*'参数'!$D$39/7)-INT((A66-1)*'参数'!$D$39/7))*'参数'!$D$59</x:f>
        <x:v>0</x:v>
      </x:c>
      <x:c r="J66" s="10" t="n">
        <x:f>IF(A66=30,4000,IF(A66=60,6000,IF(A66=90,9000,IF(MOD(A66,7)=0,'参数'!$D$43,0))))</x:f>
        <x:v>6000</x:v>
      </x:c>
      <x:c r="K66" s="10" t="n">
        <x:f>IF(B66+C66-D66+E66-F66-G66-H66-I66-'参数'!$D$52&gt;=J66,J66,0)</x:f>
        <x:v>6000</x:v>
      </x:c>
      <x:c r="L66" s="10" t="n">
        <x:f>B66+C66-D66+E66-F66-G66-H66-I66-K66</x:f>
        <x:v>3480</x:v>
      </x:c>
      <x:c r="M66" s="10" t="n">
        <x:f>IF(A66=1,'参数'!$D$64,0)+IF(MOD(A66,7)=0,'参数'!$D$62,0)+IF(MOD(A66,30)=0,'参数'!$D$63,0)</x:f>
        <x:v>60</x:v>
      </x:c>
      <x:c r="N66" s="10" t="n">
        <x:f>IF(OR(A66=1,A66=7),'参数'!$D$65/2,0)+IF(MOD(A66,7)=0,'参数'!$D$66,0)</x:f>
        <x:v>0</x:v>
      </x:c>
      <x:c r="O66" s="10" t="n">
        <x:f>N66+INT((P65+M66)/'参数'!$D$61)</x:f>
        <x:v>1</x:v>
      </x:c>
      <x:c r="P66" s="10" t="n">
        <x:f>P65+M66-(O66-N66)*'参数'!$D$61</x:f>
        <x:v>0</x:v>
      </x:c>
      <x:c r="Q66" s="10" t="n">
        <x:f>IF(OR(A66=1,A66=31,A66=61),'参数'!$D$70*'参数'!$D$60,0)</x:f>
        <x:v>0</x:v>
      </x:c>
      <x:c r="R66" s="10" t="n">
        <x:f>R65+Q66</x:f>
        <x:v>0</x:v>
      </x:c>
      <x:c r="S66" s="10" t="n">
        <x:f>S65+O66</x:f>
        <x:v>30</x:v>
      </x:c>
      <x:c r="T66" s="10" t="n">
        <x:f>O66*2+IF(MOD(A66,7)=0,'参数'!$D$68,0)+IF(A66=7,'参数'!$D$69,0)</x:f>
        <x:v>2</x:v>
      </x:c>
      <x:c r="U66" s="10" t="n">
        <x:f>IF(A66=90,160,0)</x:f>
        <x:v>0</x:v>
      </x:c>
      <x:c r="V66" s="10" t="n">
        <x:f>IF(W65+T66&gt;=U66,U66,0)</x:f>
        <x:v>0</x:v>
      </x:c>
      <x:c r="W66" s="10" t="n">
        <x:f>W65+T66-V66</x:f>
        <x:v>110</x:v>
      </x:c>
    </x:row>
    <x:row r="67" ht="48" customHeight="1">
      <x:c r="A67" s="9" t="n">
        <x:v>61</x:v>
      </x:c>
      <x:c r="B67" s="9" t="n">
        <x:f>L66</x:f>
        <x:v>3480</x:v>
      </x:c>
      <x:c r="C67" s="9" t="n">
        <x:f>'参数'!$D$7*'参数'!$D$11*'参数'!$D$15</x:f>
        <x:v>720</x:v>
      </x:c>
      <x:c r="D67" s="9" t="n">
        <x:f>'参数'!$D$7*'参数'!$D$19</x:f>
        <x:v>240</x:v>
      </x:c>
      <x:c r="E67" s="9" t="n">
        <x:f>'参数'!$D$23*'参数'!$D$53+IF(MOD(A67,7)=0,'参数'!$D$54,0)</x:f>
        <x:v>40</x:v>
      </x:c>
      <x:c r="F67" s="9" t="n">
        <x:f>(INT(A67*'参数'!$D$35/7)-INT((A67-1)*'参数'!$D$35/7))*IF(A67&lt;=30,'参数'!$D$56,IF(A67&lt;=60,'参数'!$D$57,'参数'!$D$58))+IF(A67=1,60,0)</x:f>
        <x:v>500</x:v>
      </x:c>
      <x:c r="G67" s="9" t="n">
        <x:f>(INT(A67*'参数'!$D$27)-INT((A67-1)*'参数'!$D$27))*'参数'!$D$55</x:f>
        <x:v>35</x:v>
      </x:c>
      <x:c r="H67" s="9" t="n">
        <x:f>'参数'!$D$31</x:f>
        <x:v>10</x:v>
      </x:c>
      <x:c r="I67" s="9" t="n">
        <x:f>(INT(A67*'参数'!$D$39/7)-INT((A67-1)*'参数'!$D$39/7))*'参数'!$D$59</x:f>
        <x:v>0</x:v>
      </x:c>
      <x:c r="J67" s="9" t="n">
        <x:f>IF(A67=30,4000,IF(A67=60,6000,IF(A67=90,9000,IF(MOD(A67,7)=0,'参数'!$D$43,0))))</x:f>
        <x:v>0</x:v>
      </x:c>
      <x:c r="K67" s="9" t="n">
        <x:f>IF(B67+C67-D67+E67-F67-G67-H67-I67-'参数'!$D$52&gt;=J67,J67,0)</x:f>
        <x:v>0</x:v>
      </x:c>
      <x:c r="L67" s="9" t="n">
        <x:f>B67+C67-D67+E67-F67-G67-H67-I67-K67</x:f>
        <x:v>3455</x:v>
      </x:c>
      <x:c r="M67" s="9" t="n">
        <x:f>IF(A67=1,'参数'!$D$64,0)+IF(MOD(A67,7)=0,'参数'!$D$62,0)+IF(MOD(A67,30)=0,'参数'!$D$63,0)</x:f>
        <x:v>0</x:v>
      </x:c>
      <x:c r="N67" s="9" t="n">
        <x:f>IF(OR(A67=1,A67=7),'参数'!$D$65/2,0)+IF(MOD(A67,7)=0,'参数'!$D$66,0)</x:f>
        <x:v>0</x:v>
      </x:c>
      <x:c r="O67" s="9" t="n">
        <x:f>N67+INT((P66+M67)/'参数'!$D$61)</x:f>
        <x:v>0</x:v>
      </x:c>
      <x:c r="P67" s="9" t="n">
        <x:f>P66+M67-(O67-N67)*'参数'!$D$61</x:f>
        <x:v>0</x:v>
      </x:c>
      <x:c r="Q67" s="9" t="n">
        <x:f>IF(OR(A67=1,A67=31,A67=61),'参数'!$D$70*'参数'!$D$60,0)</x:f>
        <x:v>0</x:v>
      </x:c>
      <x:c r="R67" s="9" t="n">
        <x:f>R66+Q67</x:f>
        <x:v>0</x:v>
      </x:c>
      <x:c r="S67" s="9" t="n">
        <x:f>S66+O67</x:f>
        <x:v>30</x:v>
      </x:c>
      <x:c r="T67" s="9" t="n">
        <x:f>O67*2+IF(MOD(A67,7)=0,'参数'!$D$68,0)+IF(A67=7,'参数'!$D$69,0)</x:f>
        <x:v>0</x:v>
      </x:c>
      <x:c r="U67" s="9" t="n">
        <x:f>IF(A67=90,160,0)</x:f>
        <x:v>0</x:v>
      </x:c>
      <x:c r="V67" s="9" t="n">
        <x:f>IF(W66+T67&gt;=U67,U67,0)</x:f>
        <x:v>0</x:v>
      </x:c>
      <x:c r="W67" s="9" t="n">
        <x:f>W66+T67-V67</x:f>
        <x:v>110</x:v>
      </x:c>
    </x:row>
    <x:row r="68" ht="48" customHeight="1">
      <x:c r="A68" s="10" t="n">
        <x:v>62</x:v>
      </x:c>
      <x:c r="B68" s="10" t="n">
        <x:f>L67</x:f>
        <x:v>3455</x:v>
      </x:c>
      <x:c r="C68" s="10" t="n">
        <x:f>'参数'!$D$7*'参数'!$D$11*'参数'!$D$15</x:f>
        <x:v>720</x:v>
      </x:c>
      <x:c r="D68" s="10" t="n">
        <x:f>'参数'!$D$7*'参数'!$D$19</x:f>
        <x:v>240</x:v>
      </x:c>
      <x:c r="E68" s="10" t="n">
        <x:f>'参数'!$D$23*'参数'!$D$53+IF(MOD(A68,7)=0,'参数'!$D$54,0)</x:f>
        <x:v>40</x:v>
      </x:c>
      <x:c r="F68" s="10" t="n">
        <x:f>(INT(A68*'参数'!$D$35/7)-INT((A68-1)*'参数'!$D$35/7))*IF(A68&lt;=30,'参数'!$D$56,IF(A68&lt;=60,'参数'!$D$57,'参数'!$D$58))+IF(A68=1,60,0)</x:f>
        <x:v>0</x:v>
      </x:c>
      <x:c r="G68" s="10" t="n">
        <x:f>(INT(A68*'参数'!$D$27)-INT((A68-1)*'参数'!$D$27))*'参数'!$D$55</x:f>
        <x:v>35</x:v>
      </x:c>
      <x:c r="H68" s="10" t="n">
        <x:f>'参数'!$D$31</x:f>
        <x:v>10</x:v>
      </x:c>
      <x:c r="I68" s="10" t="n">
        <x:f>(INT(A68*'参数'!$D$39/7)-INT((A68-1)*'参数'!$D$39/7))*'参数'!$D$59</x:f>
        <x:v>0</x:v>
      </x:c>
      <x:c r="J68" s="10" t="n">
        <x:f>IF(A68=30,4000,IF(A68=60,6000,IF(A68=90,9000,IF(MOD(A68,7)=0,'参数'!$D$43,0))))</x:f>
        <x:v>0</x:v>
      </x:c>
      <x:c r="K68" s="10" t="n">
        <x:f>IF(B68+C68-D68+E68-F68-G68-H68-I68-'参数'!$D$52&gt;=J68,J68,0)</x:f>
        <x:v>0</x:v>
      </x:c>
      <x:c r="L68" s="10" t="n">
        <x:f>B68+C68-D68+E68-F68-G68-H68-I68-K68</x:f>
        <x:v>3930</x:v>
      </x:c>
      <x:c r="M68" s="10" t="n">
        <x:f>IF(A68=1,'参数'!$D$64,0)+IF(MOD(A68,7)=0,'参数'!$D$62,0)+IF(MOD(A68,30)=0,'参数'!$D$63,0)</x:f>
        <x:v>0</x:v>
      </x:c>
      <x:c r="N68" s="10" t="n">
        <x:f>IF(OR(A68=1,A68=7),'参数'!$D$65/2,0)+IF(MOD(A68,7)=0,'参数'!$D$66,0)</x:f>
        <x:v>0</x:v>
      </x:c>
      <x:c r="O68" s="10" t="n">
        <x:f>N68+INT((P67+M68)/'参数'!$D$61)</x:f>
        <x:v>0</x:v>
      </x:c>
      <x:c r="P68" s="10" t="n">
        <x:f>P67+M68-(O68-N68)*'参数'!$D$61</x:f>
        <x:v>0</x:v>
      </x:c>
      <x:c r="Q68" s="10" t="n">
        <x:f>IF(OR(A68=1,A68=31,A68=61),'参数'!$D$70*'参数'!$D$60,0)</x:f>
        <x:v>0</x:v>
      </x:c>
      <x:c r="R68" s="10" t="n">
        <x:f>R67+Q68</x:f>
        <x:v>0</x:v>
      </x:c>
      <x:c r="S68" s="10" t="n">
        <x:f>S67+O68</x:f>
        <x:v>30</x:v>
      </x:c>
      <x:c r="T68" s="10" t="n">
        <x:f>O68*2+IF(MOD(A68,7)=0,'参数'!$D$68,0)+IF(A68=7,'参数'!$D$69,0)</x:f>
        <x:v>0</x:v>
      </x:c>
      <x:c r="U68" s="10" t="n">
        <x:f>IF(A68=90,160,0)</x:f>
        <x:v>0</x:v>
      </x:c>
      <x:c r="V68" s="10" t="n">
        <x:f>IF(W67+T68&gt;=U68,U68,0)</x:f>
        <x:v>0</x:v>
      </x:c>
      <x:c r="W68" s="10" t="n">
        <x:f>W67+T68-V68</x:f>
        <x:v>110</x:v>
      </x:c>
    </x:row>
    <x:row r="69" ht="48" customHeight="1">
      <x:c r="A69" s="9" t="n">
        <x:v>63</x:v>
      </x:c>
      <x:c r="B69" s="9" t="n">
        <x:f>L68</x:f>
        <x:v>3930</x:v>
      </x:c>
      <x:c r="C69" s="9" t="n">
        <x:f>'参数'!$D$7*'参数'!$D$11*'参数'!$D$15</x:f>
        <x:v>720</x:v>
      </x:c>
      <x:c r="D69" s="9" t="n">
        <x:f>'参数'!$D$7*'参数'!$D$19</x:f>
        <x:v>240</x:v>
      </x:c>
      <x:c r="E69" s="9" t="n">
        <x:f>'参数'!$D$23*'参数'!$D$53+IF(MOD(A69,7)=0,'参数'!$D$54,0)</x:f>
        <x:v>180</x:v>
      </x:c>
      <x:c r="F69" s="9" t="n">
        <x:f>(INT(A69*'参数'!$D$35/7)-INT((A69-1)*'参数'!$D$35/7))*IF(A69&lt;=30,'参数'!$D$56,IF(A69&lt;=60,'参数'!$D$57,'参数'!$D$58))+IF(A69=1,60,0)</x:f>
        <x:v>500</x:v>
      </x:c>
      <x:c r="G69" s="9" t="n">
        <x:f>(INT(A69*'参数'!$D$27)-INT((A69-1)*'参数'!$D$27))*'参数'!$D$55</x:f>
        <x:v>35</x:v>
      </x:c>
      <x:c r="H69" s="9" t="n">
        <x:f>'参数'!$D$31</x:f>
        <x:v>10</x:v>
      </x:c>
      <x:c r="I69" s="9" t="n">
        <x:f>(INT(A69*'参数'!$D$39/7)-INT((A69-1)*'参数'!$D$39/7))*'参数'!$D$59</x:f>
        <x:v>300</x:v>
      </x:c>
      <x:c r="J69" s="9" t="n">
        <x:f>IF(A69=30,4000,IF(A69=60,6000,IF(A69=90,9000,IF(MOD(A69,7)=0,'参数'!$D$43,0))))</x:f>
        <x:v>900</x:v>
      </x:c>
      <x:c r="K69" s="9" t="n">
        <x:f>IF(B69+C69-D69+E69-F69-G69-H69-I69-'参数'!$D$52&gt;=J69,J69,0)</x:f>
        <x:v>900</x:v>
      </x:c>
      <x:c r="L69" s="9" t="n">
        <x:f>B69+C69-D69+E69-F69-G69-H69-I69-K69</x:f>
        <x:v>2845</x:v>
      </x:c>
      <x:c r="M69" s="9" t="n">
        <x:f>IF(A69=1,'参数'!$D$64,0)+IF(MOD(A69,7)=0,'参数'!$D$62,0)+IF(MOD(A69,30)=0,'参数'!$D$63,0)</x:f>
        <x:v>60</x:v>
      </x:c>
      <x:c r="N69" s="9" t="n">
        <x:f>IF(OR(A69=1,A69=7),'参数'!$D$65/2,0)+IF(MOD(A69,7)=0,'参数'!$D$66,0)</x:f>
        <x:v>1</x:v>
      </x:c>
      <x:c r="O69" s="9" t="n">
        <x:f>N69+INT((P68+M69)/'参数'!$D$61)</x:f>
        <x:v>2</x:v>
      </x:c>
      <x:c r="P69" s="9" t="n">
        <x:f>P68+M69-(O69-N69)*'参数'!$D$61</x:f>
        <x:v>0</x:v>
      </x:c>
      <x:c r="Q69" s="9" t="n">
        <x:f>IF(OR(A69=1,A69=31,A69=61),'参数'!$D$70*'参数'!$D$60,0)</x:f>
        <x:v>0</x:v>
      </x:c>
      <x:c r="R69" s="9" t="n">
        <x:f>R68+Q69</x:f>
        <x:v>0</x:v>
      </x:c>
      <x:c r="S69" s="9" t="n">
        <x:f>S68+O69</x:f>
        <x:v>32</x:v>
      </x:c>
      <x:c r="T69" s="9" t="n">
        <x:f>O69*2+IF(MOD(A69,7)=0,'参数'!$D$68,0)+IF(A69=7,'参数'!$D$69,0)</x:f>
        <x:v>9</x:v>
      </x:c>
      <x:c r="U69" s="9" t="n">
        <x:f>IF(A69=90,160,0)</x:f>
        <x:v>0</x:v>
      </x:c>
      <x:c r="V69" s="9" t="n">
        <x:f>IF(W68+T69&gt;=U69,U69,0)</x:f>
        <x:v>0</x:v>
      </x:c>
      <x:c r="W69" s="9" t="n">
        <x:f>W68+T69-V69</x:f>
        <x:v>119</x:v>
      </x:c>
    </x:row>
    <x:row r="70" ht="48" customHeight="1">
      <x:c r="A70" s="10" t="n">
        <x:v>64</x:v>
      </x:c>
      <x:c r="B70" s="10" t="n">
        <x:f>L69</x:f>
        <x:v>2845</x:v>
      </x:c>
      <x:c r="C70" s="10" t="n">
        <x:f>'参数'!$D$7*'参数'!$D$11*'参数'!$D$15</x:f>
        <x:v>720</x:v>
      </x:c>
      <x:c r="D70" s="10" t="n">
        <x:f>'参数'!$D$7*'参数'!$D$19</x:f>
        <x:v>240</x:v>
      </x:c>
      <x:c r="E70" s="10" t="n">
        <x:f>'参数'!$D$23*'参数'!$D$53+IF(MOD(A70,7)=0,'参数'!$D$54,0)</x:f>
        <x:v>40</x:v>
      </x:c>
      <x:c r="F70" s="10" t="n">
        <x:f>(INT(A70*'参数'!$D$35/7)-INT((A70-1)*'参数'!$D$35/7))*IF(A70&lt;=30,'参数'!$D$56,IF(A70&lt;=60,'参数'!$D$57,'参数'!$D$58))+IF(A70=1,60,0)</x:f>
        <x:v>0</x:v>
      </x:c>
      <x:c r="G70" s="10" t="n">
        <x:f>(INT(A70*'参数'!$D$27)-INT((A70-1)*'参数'!$D$27))*'参数'!$D$55</x:f>
        <x:v>35</x:v>
      </x:c>
      <x:c r="H70" s="10" t="n">
        <x:f>'参数'!$D$31</x:f>
        <x:v>10</x:v>
      </x:c>
      <x:c r="I70" s="10" t="n">
        <x:f>(INT(A70*'参数'!$D$39/7)-INT((A70-1)*'参数'!$D$39/7))*'参数'!$D$59</x:f>
        <x:v>0</x:v>
      </x:c>
      <x:c r="J70" s="10" t="n">
        <x:f>IF(A70=30,4000,IF(A70=60,6000,IF(A70=90,9000,IF(MOD(A70,7)=0,'参数'!$D$43,0))))</x:f>
        <x:v>0</x:v>
      </x:c>
      <x:c r="K70" s="10" t="n">
        <x:f>IF(B70+C70-D70+E70-F70-G70-H70-I70-'参数'!$D$52&gt;=J70,J70,0)</x:f>
        <x:v>0</x:v>
      </x:c>
      <x:c r="L70" s="10" t="n">
        <x:f>B70+C70-D70+E70-F70-G70-H70-I70-K70</x:f>
        <x:v>3320</x:v>
      </x:c>
      <x:c r="M70" s="10" t="n">
        <x:f>IF(A70=1,'参数'!$D$64,0)+IF(MOD(A70,7)=0,'参数'!$D$62,0)+IF(MOD(A70,30)=0,'参数'!$D$63,0)</x:f>
        <x:v>0</x:v>
      </x:c>
      <x:c r="N70" s="10" t="n">
        <x:f>IF(OR(A70=1,A70=7),'参数'!$D$65/2,0)+IF(MOD(A70,7)=0,'参数'!$D$66,0)</x:f>
        <x:v>0</x:v>
      </x:c>
      <x:c r="O70" s="10" t="n">
        <x:f>N70+INT((P69+M70)/'参数'!$D$61)</x:f>
        <x:v>0</x:v>
      </x:c>
      <x:c r="P70" s="10" t="n">
        <x:f>P69+M70-(O70-N70)*'参数'!$D$61</x:f>
        <x:v>0</x:v>
      </x:c>
      <x:c r="Q70" s="10" t="n">
        <x:f>IF(OR(A70=1,A70=31,A70=61),'参数'!$D$70*'参数'!$D$60,0)</x:f>
        <x:v>0</x:v>
      </x:c>
      <x:c r="R70" s="10" t="n">
        <x:f>R69+Q70</x:f>
        <x:v>0</x:v>
      </x:c>
      <x:c r="S70" s="10" t="n">
        <x:f>S69+O70</x:f>
        <x:v>32</x:v>
      </x:c>
      <x:c r="T70" s="10" t="n">
        <x:f>O70*2+IF(MOD(A70,7)=0,'参数'!$D$68,0)+IF(A70=7,'参数'!$D$69,0)</x:f>
        <x:v>0</x:v>
      </x:c>
      <x:c r="U70" s="10" t="n">
        <x:f>IF(A70=90,160,0)</x:f>
        <x:v>0</x:v>
      </x:c>
      <x:c r="V70" s="10" t="n">
        <x:f>IF(W69+T70&gt;=U70,U70,0)</x:f>
        <x:v>0</x:v>
      </x:c>
      <x:c r="W70" s="10" t="n">
        <x:f>W69+T70-V70</x:f>
        <x:v>119</x:v>
      </x:c>
    </x:row>
    <x:row r="71" ht="48" customHeight="1">
      <x:c r="A71" s="9" t="n">
        <x:v>65</x:v>
      </x:c>
      <x:c r="B71" s="9" t="n">
        <x:f>L70</x:f>
        <x:v>3320</x:v>
      </x:c>
      <x:c r="C71" s="9" t="n">
        <x:f>'参数'!$D$7*'参数'!$D$11*'参数'!$D$15</x:f>
        <x:v>720</x:v>
      </x:c>
      <x:c r="D71" s="9" t="n">
        <x:f>'参数'!$D$7*'参数'!$D$19</x:f>
        <x:v>240</x:v>
      </x:c>
      <x:c r="E71" s="9" t="n">
        <x:f>'参数'!$D$23*'参数'!$D$53+IF(MOD(A71,7)=0,'参数'!$D$54,0)</x:f>
        <x:v>40</x:v>
      </x:c>
      <x:c r="F71" s="9" t="n">
        <x:f>(INT(A71*'参数'!$D$35/7)-INT((A71-1)*'参数'!$D$35/7))*IF(A71&lt;=30,'参数'!$D$56,IF(A71&lt;=60,'参数'!$D$57,'参数'!$D$58))+IF(A71=1,60,0)</x:f>
        <x:v>0</x:v>
      </x:c>
      <x:c r="G71" s="9" t="n">
        <x:f>(INT(A71*'参数'!$D$27)-INT((A71-1)*'参数'!$D$27))*'参数'!$D$55</x:f>
        <x:v>35</x:v>
      </x:c>
      <x:c r="H71" s="9" t="n">
        <x:f>'参数'!$D$31</x:f>
        <x:v>10</x:v>
      </x:c>
      <x:c r="I71" s="9" t="n">
        <x:f>(INT(A71*'参数'!$D$39/7)-INT((A71-1)*'参数'!$D$39/7))*'参数'!$D$59</x:f>
        <x:v>0</x:v>
      </x:c>
      <x:c r="J71" s="9" t="n">
        <x:f>IF(A71=30,4000,IF(A71=60,6000,IF(A71=90,9000,IF(MOD(A71,7)=0,'参数'!$D$43,0))))</x:f>
        <x:v>0</x:v>
      </x:c>
      <x:c r="K71" s="9" t="n">
        <x:f>IF(B71+C71-D71+E71-F71-G71-H71-I71-'参数'!$D$52&gt;=J71,J71,0)</x:f>
        <x:v>0</x:v>
      </x:c>
      <x:c r="L71" s="9" t="n">
        <x:f>B71+C71-D71+E71-F71-G71-H71-I71-K71</x:f>
        <x:v>3795</x:v>
      </x:c>
      <x:c r="M71" s="9" t="n">
        <x:f>IF(A71=1,'参数'!$D$64,0)+IF(MOD(A71,7)=0,'参数'!$D$62,0)+IF(MOD(A71,30)=0,'参数'!$D$63,0)</x:f>
        <x:v>0</x:v>
      </x:c>
      <x:c r="N71" s="9" t="n">
        <x:f>IF(OR(A71=1,A71=7),'参数'!$D$65/2,0)+IF(MOD(A71,7)=0,'参数'!$D$66,0)</x:f>
        <x:v>0</x:v>
      </x:c>
      <x:c r="O71" s="9" t="n">
        <x:f>N71+INT((P70+M71)/'参数'!$D$61)</x:f>
        <x:v>0</x:v>
      </x:c>
      <x:c r="P71" s="9" t="n">
        <x:f>P70+M71-(O71-N71)*'参数'!$D$61</x:f>
        <x:v>0</x:v>
      </x:c>
      <x:c r="Q71" s="9" t="n">
        <x:f>IF(OR(A71=1,A71=31,A71=61),'参数'!$D$70*'参数'!$D$60,0)</x:f>
        <x:v>0</x:v>
      </x:c>
      <x:c r="R71" s="9" t="n">
        <x:f>R70+Q71</x:f>
        <x:v>0</x:v>
      </x:c>
      <x:c r="S71" s="9" t="n">
        <x:f>S70+O71</x:f>
        <x:v>32</x:v>
      </x:c>
      <x:c r="T71" s="9" t="n">
        <x:f>O71*2+IF(MOD(A71,7)=0,'参数'!$D$68,0)+IF(A71=7,'参数'!$D$69,0)</x:f>
        <x:v>0</x:v>
      </x:c>
      <x:c r="U71" s="9" t="n">
        <x:f>IF(A71=90,160,0)</x:f>
        <x:v>0</x:v>
      </x:c>
      <x:c r="V71" s="9" t="n">
        <x:f>IF(W70+T71&gt;=U71,U71,0)</x:f>
        <x:v>0</x:v>
      </x:c>
      <x:c r="W71" s="9" t="n">
        <x:f>W70+T71-V71</x:f>
        <x:v>119</x:v>
      </x:c>
    </x:row>
    <x:row r="72" ht="48" customHeight="1">
      <x:c r="A72" s="10" t="n">
        <x:v>66</x:v>
      </x:c>
      <x:c r="B72" s="10" t="n">
        <x:f>L71</x:f>
        <x:v>3795</x:v>
      </x:c>
      <x:c r="C72" s="10" t="n">
        <x:f>'参数'!$D$7*'参数'!$D$11*'参数'!$D$15</x:f>
        <x:v>720</x:v>
      </x:c>
      <x:c r="D72" s="10" t="n">
        <x:f>'参数'!$D$7*'参数'!$D$19</x:f>
        <x:v>240</x:v>
      </x:c>
      <x:c r="E72" s="10" t="n">
        <x:f>'参数'!$D$23*'参数'!$D$53+IF(MOD(A72,7)=0,'参数'!$D$54,0)</x:f>
        <x:v>40</x:v>
      </x:c>
      <x:c r="F72" s="10" t="n">
        <x:f>(INT(A72*'参数'!$D$35/7)-INT((A72-1)*'参数'!$D$35/7))*IF(A72&lt;=30,'参数'!$D$56,IF(A72&lt;=60,'参数'!$D$57,'参数'!$D$58))+IF(A72=1,60,0)</x:f>
        <x:v>500</x:v>
      </x:c>
      <x:c r="G72" s="10" t="n">
        <x:f>(INT(A72*'参数'!$D$27)-INT((A72-1)*'参数'!$D$27))*'参数'!$D$55</x:f>
        <x:v>35</x:v>
      </x:c>
      <x:c r="H72" s="10" t="n">
        <x:f>'参数'!$D$31</x:f>
        <x:v>10</x:v>
      </x:c>
      <x:c r="I72" s="10" t="n">
        <x:f>(INT(A72*'参数'!$D$39/7)-INT((A72-1)*'参数'!$D$39/7))*'参数'!$D$59</x:f>
        <x:v>0</x:v>
      </x:c>
      <x:c r="J72" s="10" t="n">
        <x:f>IF(A72=30,4000,IF(A72=60,6000,IF(A72=90,9000,IF(MOD(A72,7)=0,'参数'!$D$43,0))))</x:f>
        <x:v>0</x:v>
      </x:c>
      <x:c r="K72" s="10" t="n">
        <x:f>IF(B72+C72-D72+E72-F72-G72-H72-I72-'参数'!$D$52&gt;=J72,J72,0)</x:f>
        <x:v>0</x:v>
      </x:c>
      <x:c r="L72" s="10" t="n">
        <x:f>B72+C72-D72+E72-F72-G72-H72-I72-K72</x:f>
        <x:v>3770</x:v>
      </x:c>
      <x:c r="M72" s="10" t="n">
        <x:f>IF(A72=1,'参数'!$D$64,0)+IF(MOD(A72,7)=0,'参数'!$D$62,0)+IF(MOD(A72,30)=0,'参数'!$D$63,0)</x:f>
        <x:v>0</x:v>
      </x:c>
      <x:c r="N72" s="10" t="n">
        <x:f>IF(OR(A72=1,A72=7),'参数'!$D$65/2,0)+IF(MOD(A72,7)=0,'参数'!$D$66,0)</x:f>
        <x:v>0</x:v>
      </x:c>
      <x:c r="O72" s="10" t="n">
        <x:f>N72+INT((P71+M72)/'参数'!$D$61)</x:f>
        <x:v>0</x:v>
      </x:c>
      <x:c r="P72" s="10" t="n">
        <x:f>P71+M72-(O72-N72)*'参数'!$D$61</x:f>
        <x:v>0</x:v>
      </x:c>
      <x:c r="Q72" s="10" t="n">
        <x:f>IF(OR(A72=1,A72=31,A72=61),'参数'!$D$70*'参数'!$D$60,0)</x:f>
        <x:v>0</x:v>
      </x:c>
      <x:c r="R72" s="10" t="n">
        <x:f>R71+Q72</x:f>
        <x:v>0</x:v>
      </x:c>
      <x:c r="S72" s="10" t="n">
        <x:f>S71+O72</x:f>
        <x:v>32</x:v>
      </x:c>
      <x:c r="T72" s="10" t="n">
        <x:f>O72*2+IF(MOD(A72,7)=0,'参数'!$D$68,0)+IF(A72=7,'参数'!$D$69,0)</x:f>
        <x:v>0</x:v>
      </x:c>
      <x:c r="U72" s="10" t="n">
        <x:f>IF(A72=90,160,0)</x:f>
        <x:v>0</x:v>
      </x:c>
      <x:c r="V72" s="10" t="n">
        <x:f>IF(W71+T72&gt;=U72,U72,0)</x:f>
        <x:v>0</x:v>
      </x:c>
      <x:c r="W72" s="10" t="n">
        <x:f>W71+T72-V72</x:f>
        <x:v>119</x:v>
      </x:c>
    </x:row>
    <x:row r="73" ht="48" customHeight="1">
      <x:c r="A73" s="9" t="n">
        <x:v>67</x:v>
      </x:c>
      <x:c r="B73" s="9" t="n">
        <x:f>L72</x:f>
        <x:v>3770</x:v>
      </x:c>
      <x:c r="C73" s="9" t="n">
        <x:f>'参数'!$D$7*'参数'!$D$11*'参数'!$D$15</x:f>
        <x:v>720</x:v>
      </x:c>
      <x:c r="D73" s="9" t="n">
        <x:f>'参数'!$D$7*'参数'!$D$19</x:f>
        <x:v>240</x:v>
      </x:c>
      <x:c r="E73" s="9" t="n">
        <x:f>'参数'!$D$23*'参数'!$D$53+IF(MOD(A73,7)=0,'参数'!$D$54,0)</x:f>
        <x:v>40</x:v>
      </x:c>
      <x:c r="F73" s="9" t="n">
        <x:f>(INT(A73*'参数'!$D$35/7)-INT((A73-1)*'参数'!$D$35/7))*IF(A73&lt;=30,'参数'!$D$56,IF(A73&lt;=60,'参数'!$D$57,'参数'!$D$58))+IF(A73=1,60,0)</x:f>
        <x:v>0</x:v>
      </x:c>
      <x:c r="G73" s="9" t="n">
        <x:f>(INT(A73*'参数'!$D$27)-INT((A73-1)*'参数'!$D$27))*'参数'!$D$55</x:f>
        <x:v>35</x:v>
      </x:c>
      <x:c r="H73" s="9" t="n">
        <x:f>'参数'!$D$31</x:f>
        <x:v>10</x:v>
      </x:c>
      <x:c r="I73" s="9" t="n">
        <x:f>(INT(A73*'参数'!$D$39/7)-INT((A73-1)*'参数'!$D$39/7))*'参数'!$D$59</x:f>
        <x:v>0</x:v>
      </x:c>
      <x:c r="J73" s="9" t="n">
        <x:f>IF(A73=30,4000,IF(A73=60,6000,IF(A73=90,9000,IF(MOD(A73,7)=0,'参数'!$D$43,0))))</x:f>
        <x:v>0</x:v>
      </x:c>
      <x:c r="K73" s="9" t="n">
        <x:f>IF(B73+C73-D73+E73-F73-G73-H73-I73-'参数'!$D$52&gt;=J73,J73,0)</x:f>
        <x:v>0</x:v>
      </x:c>
      <x:c r="L73" s="9" t="n">
        <x:f>B73+C73-D73+E73-F73-G73-H73-I73-K73</x:f>
        <x:v>4245</x:v>
      </x:c>
      <x:c r="M73" s="9" t="n">
        <x:f>IF(A73=1,'参数'!$D$64,0)+IF(MOD(A73,7)=0,'参数'!$D$62,0)+IF(MOD(A73,30)=0,'参数'!$D$63,0)</x:f>
        <x:v>0</x:v>
      </x:c>
      <x:c r="N73" s="9" t="n">
        <x:f>IF(OR(A73=1,A73=7),'参数'!$D$65/2,0)+IF(MOD(A73,7)=0,'参数'!$D$66,0)</x:f>
        <x:v>0</x:v>
      </x:c>
      <x:c r="O73" s="9" t="n">
        <x:f>N73+INT((P72+M73)/'参数'!$D$61)</x:f>
        <x:v>0</x:v>
      </x:c>
      <x:c r="P73" s="9" t="n">
        <x:f>P72+M73-(O73-N73)*'参数'!$D$61</x:f>
        <x:v>0</x:v>
      </x:c>
      <x:c r="Q73" s="9" t="n">
        <x:f>IF(OR(A73=1,A73=31,A73=61),'参数'!$D$70*'参数'!$D$60,0)</x:f>
        <x:v>0</x:v>
      </x:c>
      <x:c r="R73" s="9" t="n">
        <x:f>R72+Q73</x:f>
        <x:v>0</x:v>
      </x:c>
      <x:c r="S73" s="9" t="n">
        <x:f>S72+O73</x:f>
        <x:v>32</x:v>
      </x:c>
      <x:c r="T73" s="9" t="n">
        <x:f>O73*2+IF(MOD(A73,7)=0,'参数'!$D$68,0)+IF(A73=7,'参数'!$D$69,0)</x:f>
        <x:v>0</x:v>
      </x:c>
      <x:c r="U73" s="9" t="n">
        <x:f>IF(A73=90,160,0)</x:f>
        <x:v>0</x:v>
      </x:c>
      <x:c r="V73" s="9" t="n">
        <x:f>IF(W72+T73&gt;=U73,U73,0)</x:f>
        <x:v>0</x:v>
      </x:c>
      <x:c r="W73" s="9" t="n">
        <x:f>W72+T73-V73</x:f>
        <x:v>119</x:v>
      </x:c>
    </x:row>
    <x:row r="74" ht="48" customHeight="1">
      <x:c r="A74" s="10" t="n">
        <x:v>68</x:v>
      </x:c>
      <x:c r="B74" s="10" t="n">
        <x:f>L73</x:f>
        <x:v>4245</x:v>
      </x:c>
      <x:c r="C74" s="10" t="n">
        <x:f>'参数'!$D$7*'参数'!$D$11*'参数'!$D$15</x:f>
        <x:v>720</x:v>
      </x:c>
      <x:c r="D74" s="10" t="n">
        <x:f>'参数'!$D$7*'参数'!$D$19</x:f>
        <x:v>240</x:v>
      </x:c>
      <x:c r="E74" s="10" t="n">
        <x:f>'参数'!$D$23*'参数'!$D$53+IF(MOD(A74,7)=0,'参数'!$D$54,0)</x:f>
        <x:v>40</x:v>
      </x:c>
      <x:c r="F74" s="10" t="n">
        <x:f>(INT(A74*'参数'!$D$35/7)-INT((A74-1)*'参数'!$D$35/7))*IF(A74&lt;=30,'参数'!$D$56,IF(A74&lt;=60,'参数'!$D$57,'参数'!$D$58))+IF(A74=1,60,0)</x:f>
        <x:v>500</x:v>
      </x:c>
      <x:c r="G74" s="10" t="n">
        <x:f>(INT(A74*'参数'!$D$27)-INT((A74-1)*'参数'!$D$27))*'参数'!$D$55</x:f>
        <x:v>35</x:v>
      </x:c>
      <x:c r="H74" s="10" t="n">
        <x:f>'参数'!$D$31</x:f>
        <x:v>10</x:v>
      </x:c>
      <x:c r="I74" s="10" t="n">
        <x:f>(INT(A74*'参数'!$D$39/7)-INT((A74-1)*'参数'!$D$39/7))*'参数'!$D$59</x:f>
        <x:v>0</x:v>
      </x:c>
      <x:c r="J74" s="10" t="n">
        <x:f>IF(A74=30,4000,IF(A74=60,6000,IF(A74=90,9000,IF(MOD(A74,7)=0,'参数'!$D$43,0))))</x:f>
        <x:v>0</x:v>
      </x:c>
      <x:c r="K74" s="10" t="n">
        <x:f>IF(B74+C74-D74+E74-F74-G74-H74-I74-'参数'!$D$52&gt;=J74,J74,0)</x:f>
        <x:v>0</x:v>
      </x:c>
      <x:c r="L74" s="10" t="n">
        <x:f>B74+C74-D74+E74-F74-G74-H74-I74-K74</x:f>
        <x:v>4220</x:v>
      </x:c>
      <x:c r="M74" s="10" t="n">
        <x:f>IF(A74=1,'参数'!$D$64,0)+IF(MOD(A74,7)=0,'参数'!$D$62,0)+IF(MOD(A74,30)=0,'参数'!$D$63,0)</x:f>
        <x:v>0</x:v>
      </x:c>
      <x:c r="N74" s="10" t="n">
        <x:f>IF(OR(A74=1,A74=7),'参数'!$D$65/2,0)+IF(MOD(A74,7)=0,'参数'!$D$66,0)</x:f>
        <x:v>0</x:v>
      </x:c>
      <x:c r="O74" s="10" t="n">
        <x:f>N74+INT((P73+M74)/'参数'!$D$61)</x:f>
        <x:v>0</x:v>
      </x:c>
      <x:c r="P74" s="10" t="n">
        <x:f>P73+M74-(O74-N74)*'参数'!$D$61</x:f>
        <x:v>0</x:v>
      </x:c>
      <x:c r="Q74" s="10" t="n">
        <x:f>IF(OR(A74=1,A74=31,A74=61),'参数'!$D$70*'参数'!$D$60,0)</x:f>
        <x:v>0</x:v>
      </x:c>
      <x:c r="R74" s="10" t="n">
        <x:f>R73+Q74</x:f>
        <x:v>0</x:v>
      </x:c>
      <x:c r="S74" s="10" t="n">
        <x:f>S73+O74</x:f>
        <x:v>32</x:v>
      </x:c>
      <x:c r="T74" s="10" t="n">
        <x:f>O74*2+IF(MOD(A74,7)=0,'参数'!$D$68,0)+IF(A74=7,'参数'!$D$69,0)</x:f>
        <x:v>0</x:v>
      </x:c>
      <x:c r="U74" s="10" t="n">
        <x:f>IF(A74=90,160,0)</x:f>
        <x:v>0</x:v>
      </x:c>
      <x:c r="V74" s="10" t="n">
        <x:f>IF(W73+T74&gt;=U74,U74,0)</x:f>
        <x:v>0</x:v>
      </x:c>
      <x:c r="W74" s="10" t="n">
        <x:f>W73+T74-V74</x:f>
        <x:v>119</x:v>
      </x:c>
    </x:row>
    <x:row r="75" ht="48" customHeight="1">
      <x:c r="A75" s="9" t="n">
        <x:v>69</x:v>
      </x:c>
      <x:c r="B75" s="9" t="n">
        <x:f>L74</x:f>
        <x:v>4220</x:v>
      </x:c>
      <x:c r="C75" s="9" t="n">
        <x:f>'参数'!$D$7*'参数'!$D$11*'参数'!$D$15</x:f>
        <x:v>720</x:v>
      </x:c>
      <x:c r="D75" s="9" t="n">
        <x:f>'参数'!$D$7*'参数'!$D$19</x:f>
        <x:v>240</x:v>
      </x:c>
      <x:c r="E75" s="9" t="n">
        <x:f>'参数'!$D$23*'参数'!$D$53+IF(MOD(A75,7)=0,'参数'!$D$54,0)</x:f>
        <x:v>40</x:v>
      </x:c>
      <x:c r="F75" s="9" t="n">
        <x:f>(INT(A75*'参数'!$D$35/7)-INT((A75-1)*'参数'!$D$35/7))*IF(A75&lt;=30,'参数'!$D$56,IF(A75&lt;=60,'参数'!$D$57,'参数'!$D$58))+IF(A75=1,60,0)</x:f>
        <x:v>0</x:v>
      </x:c>
      <x:c r="G75" s="9" t="n">
        <x:f>(INT(A75*'参数'!$D$27)-INT((A75-1)*'参数'!$D$27))*'参数'!$D$55</x:f>
        <x:v>35</x:v>
      </x:c>
      <x:c r="H75" s="9" t="n">
        <x:f>'参数'!$D$31</x:f>
        <x:v>10</x:v>
      </x:c>
      <x:c r="I75" s="9" t="n">
        <x:f>(INT(A75*'参数'!$D$39/7)-INT((A75-1)*'参数'!$D$39/7))*'参数'!$D$59</x:f>
        <x:v>0</x:v>
      </x:c>
      <x:c r="J75" s="9" t="n">
        <x:f>IF(A75=30,4000,IF(A75=60,6000,IF(A75=90,9000,IF(MOD(A75,7)=0,'参数'!$D$43,0))))</x:f>
        <x:v>0</x:v>
      </x:c>
      <x:c r="K75" s="9" t="n">
        <x:f>IF(B75+C75-D75+E75-F75-G75-H75-I75-'参数'!$D$52&gt;=J75,J75,0)</x:f>
        <x:v>0</x:v>
      </x:c>
      <x:c r="L75" s="9" t="n">
        <x:f>B75+C75-D75+E75-F75-G75-H75-I75-K75</x:f>
        <x:v>4695</x:v>
      </x:c>
      <x:c r="M75" s="9" t="n">
        <x:f>IF(A75=1,'参数'!$D$64,0)+IF(MOD(A75,7)=0,'参数'!$D$62,0)+IF(MOD(A75,30)=0,'参数'!$D$63,0)</x:f>
        <x:v>0</x:v>
      </x:c>
      <x:c r="N75" s="9" t="n">
        <x:f>IF(OR(A75=1,A75=7),'参数'!$D$65/2,0)+IF(MOD(A75,7)=0,'参数'!$D$66,0)</x:f>
        <x:v>0</x:v>
      </x:c>
      <x:c r="O75" s="9" t="n">
        <x:f>N75+INT((P74+M75)/'参数'!$D$61)</x:f>
        <x:v>0</x:v>
      </x:c>
      <x:c r="P75" s="9" t="n">
        <x:f>P74+M75-(O75-N75)*'参数'!$D$61</x:f>
        <x:v>0</x:v>
      </x:c>
      <x:c r="Q75" s="9" t="n">
        <x:f>IF(OR(A75=1,A75=31,A75=61),'参数'!$D$70*'参数'!$D$60,0)</x:f>
        <x:v>0</x:v>
      </x:c>
      <x:c r="R75" s="9" t="n">
        <x:f>R74+Q75</x:f>
        <x:v>0</x:v>
      </x:c>
      <x:c r="S75" s="9" t="n">
        <x:f>S74+O75</x:f>
        <x:v>32</x:v>
      </x:c>
      <x:c r="T75" s="9" t="n">
        <x:f>O75*2+IF(MOD(A75,7)=0,'参数'!$D$68,0)+IF(A75=7,'参数'!$D$69,0)</x:f>
        <x:v>0</x:v>
      </x:c>
      <x:c r="U75" s="9" t="n">
        <x:f>IF(A75=90,160,0)</x:f>
        <x:v>0</x:v>
      </x:c>
      <x:c r="V75" s="9" t="n">
        <x:f>IF(W74+T75&gt;=U75,U75,0)</x:f>
        <x:v>0</x:v>
      </x:c>
      <x:c r="W75" s="9" t="n">
        <x:f>W74+T75-V75</x:f>
        <x:v>119</x:v>
      </x:c>
    </x:row>
    <x:row r="76" ht="48" customHeight="1">
      <x:c r="A76" s="10" t="n">
        <x:v>70</x:v>
      </x:c>
      <x:c r="B76" s="10" t="n">
        <x:f>L75</x:f>
        <x:v>4695</x:v>
      </x:c>
      <x:c r="C76" s="10" t="n">
        <x:f>'参数'!$D$7*'参数'!$D$11*'参数'!$D$15</x:f>
        <x:v>720</x:v>
      </x:c>
      <x:c r="D76" s="10" t="n">
        <x:f>'参数'!$D$7*'参数'!$D$19</x:f>
        <x:v>240</x:v>
      </x:c>
      <x:c r="E76" s="10" t="n">
        <x:f>'参数'!$D$23*'参数'!$D$53+IF(MOD(A76,7)=0,'参数'!$D$54,0)</x:f>
        <x:v>180</x:v>
      </x:c>
      <x:c r="F76" s="10" t="n">
        <x:f>(INT(A76*'参数'!$D$35/7)-INT((A76-1)*'参数'!$D$35/7))*IF(A76&lt;=30,'参数'!$D$56,IF(A76&lt;=60,'参数'!$D$57,'参数'!$D$58))+IF(A76=1,60,0)</x:f>
        <x:v>500</x:v>
      </x:c>
      <x:c r="G76" s="10" t="n">
        <x:f>(INT(A76*'参数'!$D$27)-INT((A76-1)*'参数'!$D$27))*'参数'!$D$55</x:f>
        <x:v>35</x:v>
      </x:c>
      <x:c r="H76" s="10" t="n">
        <x:f>'参数'!$D$31</x:f>
        <x:v>10</x:v>
      </x:c>
      <x:c r="I76" s="10" t="n">
        <x:f>(INT(A76*'参数'!$D$39/7)-INT((A76-1)*'参数'!$D$39/7))*'参数'!$D$59</x:f>
        <x:v>300</x:v>
      </x:c>
      <x:c r="J76" s="10" t="n">
        <x:f>IF(A76=30,4000,IF(A76=60,6000,IF(A76=90,9000,IF(MOD(A76,7)=0,'参数'!$D$43,0))))</x:f>
        <x:v>900</x:v>
      </x:c>
      <x:c r="K76" s="10" t="n">
        <x:f>IF(B76+C76-D76+E76-F76-G76-H76-I76-'参数'!$D$52&gt;=J76,J76,0)</x:f>
        <x:v>900</x:v>
      </x:c>
      <x:c r="L76" s="10" t="n">
        <x:f>B76+C76-D76+E76-F76-G76-H76-I76-K76</x:f>
        <x:v>3610</x:v>
      </x:c>
      <x:c r="M76" s="10" t="n">
        <x:f>IF(A76=1,'参数'!$D$64,0)+IF(MOD(A76,7)=0,'参数'!$D$62,0)+IF(MOD(A76,30)=0,'参数'!$D$63,0)</x:f>
        <x:v>60</x:v>
      </x:c>
      <x:c r="N76" s="10" t="n">
        <x:f>IF(OR(A76=1,A76=7),'参数'!$D$65/2,0)+IF(MOD(A76,7)=0,'参数'!$D$66,0)</x:f>
        <x:v>1</x:v>
      </x:c>
      <x:c r="O76" s="10" t="n">
        <x:f>N76+INT((P75+M76)/'参数'!$D$61)</x:f>
        <x:v>2</x:v>
      </x:c>
      <x:c r="P76" s="10" t="n">
        <x:f>P75+M76-(O76-N76)*'参数'!$D$61</x:f>
        <x:v>0</x:v>
      </x:c>
      <x:c r="Q76" s="10" t="n">
        <x:f>IF(OR(A76=1,A76=31,A76=61),'参数'!$D$70*'参数'!$D$60,0)</x:f>
        <x:v>0</x:v>
      </x:c>
      <x:c r="R76" s="10" t="n">
        <x:f>R75+Q76</x:f>
        <x:v>0</x:v>
      </x:c>
      <x:c r="S76" s="10" t="n">
        <x:f>S75+O76</x:f>
        <x:v>34</x:v>
      </x:c>
      <x:c r="T76" s="10" t="n">
        <x:f>O76*2+IF(MOD(A76,7)=0,'参数'!$D$68,0)+IF(A76=7,'参数'!$D$69,0)</x:f>
        <x:v>9</x:v>
      </x:c>
      <x:c r="U76" s="10" t="n">
        <x:f>IF(A76=90,160,0)</x:f>
        <x:v>0</x:v>
      </x:c>
      <x:c r="V76" s="10" t="n">
        <x:f>IF(W75+T76&gt;=U76,U76,0)</x:f>
        <x:v>0</x:v>
      </x:c>
      <x:c r="W76" s="10" t="n">
        <x:f>W75+T76-V76</x:f>
        <x:v>128</x:v>
      </x:c>
    </x:row>
    <x:row r="77" ht="48" customHeight="1">
      <x:c r="A77" s="9" t="n">
        <x:v>71</x:v>
      </x:c>
      <x:c r="B77" s="9" t="n">
        <x:f>L76</x:f>
        <x:v>3610</x:v>
      </x:c>
      <x:c r="C77" s="9" t="n">
        <x:f>'参数'!$D$7*'参数'!$D$11*'参数'!$D$15</x:f>
        <x:v>720</x:v>
      </x:c>
      <x:c r="D77" s="9" t="n">
        <x:f>'参数'!$D$7*'参数'!$D$19</x:f>
        <x:v>240</x:v>
      </x:c>
      <x:c r="E77" s="9" t="n">
        <x:f>'参数'!$D$23*'参数'!$D$53+IF(MOD(A77,7)=0,'参数'!$D$54,0)</x:f>
        <x:v>40</x:v>
      </x:c>
      <x:c r="F77" s="9" t="n">
        <x:f>(INT(A77*'参数'!$D$35/7)-INT((A77-1)*'参数'!$D$35/7))*IF(A77&lt;=30,'参数'!$D$56,IF(A77&lt;=60,'参数'!$D$57,'参数'!$D$58))+IF(A77=1,60,0)</x:f>
        <x:v>0</x:v>
      </x:c>
      <x:c r="G77" s="9" t="n">
        <x:f>(INT(A77*'参数'!$D$27)-INT((A77-1)*'参数'!$D$27))*'参数'!$D$55</x:f>
        <x:v>35</x:v>
      </x:c>
      <x:c r="H77" s="9" t="n">
        <x:f>'参数'!$D$31</x:f>
        <x:v>10</x:v>
      </x:c>
      <x:c r="I77" s="9" t="n">
        <x:f>(INT(A77*'参数'!$D$39/7)-INT((A77-1)*'参数'!$D$39/7))*'参数'!$D$59</x:f>
        <x:v>0</x:v>
      </x:c>
      <x:c r="J77" s="9" t="n">
        <x:f>IF(A77=30,4000,IF(A77=60,6000,IF(A77=90,9000,IF(MOD(A77,7)=0,'参数'!$D$43,0))))</x:f>
        <x:v>0</x:v>
      </x:c>
      <x:c r="K77" s="9" t="n">
        <x:f>IF(B77+C77-D77+E77-F77-G77-H77-I77-'参数'!$D$52&gt;=J77,J77,0)</x:f>
        <x:v>0</x:v>
      </x:c>
      <x:c r="L77" s="9" t="n">
        <x:f>B77+C77-D77+E77-F77-G77-H77-I77-K77</x:f>
        <x:v>4085</x:v>
      </x:c>
      <x:c r="M77" s="9" t="n">
        <x:f>IF(A77=1,'参数'!$D$64,0)+IF(MOD(A77,7)=0,'参数'!$D$62,0)+IF(MOD(A77,30)=0,'参数'!$D$63,0)</x:f>
        <x:v>0</x:v>
      </x:c>
      <x:c r="N77" s="9" t="n">
        <x:f>IF(OR(A77=1,A77=7),'参数'!$D$65/2,0)+IF(MOD(A77,7)=0,'参数'!$D$66,0)</x:f>
        <x:v>0</x:v>
      </x:c>
      <x:c r="O77" s="9" t="n">
        <x:f>N77+INT((P76+M77)/'参数'!$D$61)</x:f>
        <x:v>0</x:v>
      </x:c>
      <x:c r="P77" s="9" t="n">
        <x:f>P76+M77-(O77-N77)*'参数'!$D$61</x:f>
        <x:v>0</x:v>
      </x:c>
      <x:c r="Q77" s="9" t="n">
        <x:f>IF(OR(A77=1,A77=31,A77=61),'参数'!$D$70*'参数'!$D$60,0)</x:f>
        <x:v>0</x:v>
      </x:c>
      <x:c r="R77" s="9" t="n">
        <x:f>R76+Q77</x:f>
        <x:v>0</x:v>
      </x:c>
      <x:c r="S77" s="9" t="n">
        <x:f>S76+O77</x:f>
        <x:v>34</x:v>
      </x:c>
      <x:c r="T77" s="9" t="n">
        <x:f>O77*2+IF(MOD(A77,7)=0,'参数'!$D$68,0)+IF(A77=7,'参数'!$D$69,0)</x:f>
        <x:v>0</x:v>
      </x:c>
      <x:c r="U77" s="9" t="n">
        <x:f>IF(A77=90,160,0)</x:f>
        <x:v>0</x:v>
      </x:c>
      <x:c r="V77" s="9" t="n">
        <x:f>IF(W76+T77&gt;=U77,U77,0)</x:f>
        <x:v>0</x:v>
      </x:c>
      <x:c r="W77" s="9" t="n">
        <x:f>W76+T77-V77</x:f>
        <x:v>128</x:v>
      </x:c>
    </x:row>
    <x:row r="78" ht="48" customHeight="1">
      <x:c r="A78" s="10" t="n">
        <x:v>72</x:v>
      </x:c>
      <x:c r="B78" s="10" t="n">
        <x:f>L77</x:f>
        <x:v>4085</x:v>
      </x:c>
      <x:c r="C78" s="10" t="n">
        <x:f>'参数'!$D$7*'参数'!$D$11*'参数'!$D$15</x:f>
        <x:v>720</x:v>
      </x:c>
      <x:c r="D78" s="10" t="n">
        <x:f>'参数'!$D$7*'参数'!$D$19</x:f>
        <x:v>240</x:v>
      </x:c>
      <x:c r="E78" s="10" t="n">
        <x:f>'参数'!$D$23*'参数'!$D$53+IF(MOD(A78,7)=0,'参数'!$D$54,0)</x:f>
        <x:v>40</x:v>
      </x:c>
      <x:c r="F78" s="10" t="n">
        <x:f>(INT(A78*'参数'!$D$35/7)-INT((A78-1)*'参数'!$D$35/7))*IF(A78&lt;=30,'参数'!$D$56,IF(A78&lt;=60,'参数'!$D$57,'参数'!$D$58))+IF(A78=1,60,0)</x:f>
        <x:v>0</x:v>
      </x:c>
      <x:c r="G78" s="10" t="n">
        <x:f>(INT(A78*'参数'!$D$27)-INT((A78-1)*'参数'!$D$27))*'参数'!$D$55</x:f>
        <x:v>35</x:v>
      </x:c>
      <x:c r="H78" s="10" t="n">
        <x:f>'参数'!$D$31</x:f>
        <x:v>10</x:v>
      </x:c>
      <x:c r="I78" s="10" t="n">
        <x:f>(INT(A78*'参数'!$D$39/7)-INT((A78-1)*'参数'!$D$39/7))*'参数'!$D$59</x:f>
        <x:v>0</x:v>
      </x:c>
      <x:c r="J78" s="10" t="n">
        <x:f>IF(A78=30,4000,IF(A78=60,6000,IF(A78=90,9000,IF(MOD(A78,7)=0,'参数'!$D$43,0))))</x:f>
        <x:v>0</x:v>
      </x:c>
      <x:c r="K78" s="10" t="n">
        <x:f>IF(B78+C78-D78+E78-F78-G78-H78-I78-'参数'!$D$52&gt;=J78,J78,0)</x:f>
        <x:v>0</x:v>
      </x:c>
      <x:c r="L78" s="10" t="n">
        <x:f>B78+C78-D78+E78-F78-G78-H78-I78-K78</x:f>
        <x:v>4560</x:v>
      </x:c>
      <x:c r="M78" s="10" t="n">
        <x:f>IF(A78=1,'参数'!$D$64,0)+IF(MOD(A78,7)=0,'参数'!$D$62,0)+IF(MOD(A78,30)=0,'参数'!$D$63,0)</x:f>
        <x:v>0</x:v>
      </x:c>
      <x:c r="N78" s="10" t="n">
        <x:f>IF(OR(A78=1,A78=7),'参数'!$D$65/2,0)+IF(MOD(A78,7)=0,'参数'!$D$66,0)</x:f>
        <x:v>0</x:v>
      </x:c>
      <x:c r="O78" s="10" t="n">
        <x:f>N78+INT((P77+M78)/'参数'!$D$61)</x:f>
        <x:v>0</x:v>
      </x:c>
      <x:c r="P78" s="10" t="n">
        <x:f>P77+M78-(O78-N78)*'参数'!$D$61</x:f>
        <x:v>0</x:v>
      </x:c>
      <x:c r="Q78" s="10" t="n">
        <x:f>IF(OR(A78=1,A78=31,A78=61),'参数'!$D$70*'参数'!$D$60,0)</x:f>
        <x:v>0</x:v>
      </x:c>
      <x:c r="R78" s="10" t="n">
        <x:f>R77+Q78</x:f>
        <x:v>0</x:v>
      </x:c>
      <x:c r="S78" s="10" t="n">
        <x:f>S77+O78</x:f>
        <x:v>34</x:v>
      </x:c>
      <x:c r="T78" s="10" t="n">
        <x:f>O78*2+IF(MOD(A78,7)=0,'参数'!$D$68,0)+IF(A78=7,'参数'!$D$69,0)</x:f>
        <x:v>0</x:v>
      </x:c>
      <x:c r="U78" s="10" t="n">
        <x:f>IF(A78=90,160,0)</x:f>
        <x:v>0</x:v>
      </x:c>
      <x:c r="V78" s="10" t="n">
        <x:f>IF(W77+T78&gt;=U78,U78,0)</x:f>
        <x:v>0</x:v>
      </x:c>
      <x:c r="W78" s="10" t="n">
        <x:f>W77+T78-V78</x:f>
        <x:v>128</x:v>
      </x:c>
    </x:row>
    <x:row r="79" ht="48" customHeight="1">
      <x:c r="A79" s="9" t="n">
        <x:v>73</x:v>
      </x:c>
      <x:c r="B79" s="9" t="n">
        <x:f>L78</x:f>
        <x:v>4560</x:v>
      </x:c>
      <x:c r="C79" s="9" t="n">
        <x:f>'参数'!$D$7*'参数'!$D$11*'参数'!$D$15</x:f>
        <x:v>720</x:v>
      </x:c>
      <x:c r="D79" s="9" t="n">
        <x:f>'参数'!$D$7*'参数'!$D$19</x:f>
        <x:v>240</x:v>
      </x:c>
      <x:c r="E79" s="9" t="n">
        <x:f>'参数'!$D$23*'参数'!$D$53+IF(MOD(A79,7)=0,'参数'!$D$54,0)</x:f>
        <x:v>40</x:v>
      </x:c>
      <x:c r="F79" s="9" t="n">
        <x:f>(INT(A79*'参数'!$D$35/7)-INT((A79-1)*'参数'!$D$35/7))*IF(A79&lt;=30,'参数'!$D$56,IF(A79&lt;=60,'参数'!$D$57,'参数'!$D$58))+IF(A79=1,60,0)</x:f>
        <x:v>500</x:v>
      </x:c>
      <x:c r="G79" s="9" t="n">
        <x:f>(INT(A79*'参数'!$D$27)-INT((A79-1)*'参数'!$D$27))*'参数'!$D$55</x:f>
        <x:v>35</x:v>
      </x:c>
      <x:c r="H79" s="9" t="n">
        <x:f>'参数'!$D$31</x:f>
        <x:v>10</x:v>
      </x:c>
      <x:c r="I79" s="9" t="n">
        <x:f>(INT(A79*'参数'!$D$39/7)-INT((A79-1)*'参数'!$D$39/7))*'参数'!$D$59</x:f>
        <x:v>0</x:v>
      </x:c>
      <x:c r="J79" s="9" t="n">
        <x:f>IF(A79=30,4000,IF(A79=60,6000,IF(A79=90,9000,IF(MOD(A79,7)=0,'参数'!$D$43,0))))</x:f>
        <x:v>0</x:v>
      </x:c>
      <x:c r="K79" s="9" t="n">
        <x:f>IF(B79+C79-D79+E79-F79-G79-H79-I79-'参数'!$D$52&gt;=J79,J79,0)</x:f>
        <x:v>0</x:v>
      </x:c>
      <x:c r="L79" s="9" t="n">
        <x:f>B79+C79-D79+E79-F79-G79-H79-I79-K79</x:f>
        <x:v>4535</x:v>
      </x:c>
      <x:c r="M79" s="9" t="n">
        <x:f>IF(A79=1,'参数'!$D$64,0)+IF(MOD(A79,7)=0,'参数'!$D$62,0)+IF(MOD(A79,30)=0,'参数'!$D$63,0)</x:f>
        <x:v>0</x:v>
      </x:c>
      <x:c r="N79" s="9" t="n">
        <x:f>IF(OR(A79=1,A79=7),'参数'!$D$65/2,0)+IF(MOD(A79,7)=0,'参数'!$D$66,0)</x:f>
        <x:v>0</x:v>
      </x:c>
      <x:c r="O79" s="9" t="n">
        <x:f>N79+INT((P78+M79)/'参数'!$D$61)</x:f>
        <x:v>0</x:v>
      </x:c>
      <x:c r="P79" s="9" t="n">
        <x:f>P78+M79-(O79-N79)*'参数'!$D$61</x:f>
        <x:v>0</x:v>
      </x:c>
      <x:c r="Q79" s="9" t="n">
        <x:f>IF(OR(A79=1,A79=31,A79=61),'参数'!$D$70*'参数'!$D$60,0)</x:f>
        <x:v>0</x:v>
      </x:c>
      <x:c r="R79" s="9" t="n">
        <x:f>R78+Q79</x:f>
        <x:v>0</x:v>
      </x:c>
      <x:c r="S79" s="9" t="n">
        <x:f>S78+O79</x:f>
        <x:v>34</x:v>
      </x:c>
      <x:c r="T79" s="9" t="n">
        <x:f>O79*2+IF(MOD(A79,7)=0,'参数'!$D$68,0)+IF(A79=7,'参数'!$D$69,0)</x:f>
        <x:v>0</x:v>
      </x:c>
      <x:c r="U79" s="9" t="n">
        <x:f>IF(A79=90,160,0)</x:f>
        <x:v>0</x:v>
      </x:c>
      <x:c r="V79" s="9" t="n">
        <x:f>IF(W78+T79&gt;=U79,U79,0)</x:f>
        <x:v>0</x:v>
      </x:c>
      <x:c r="W79" s="9" t="n">
        <x:f>W78+T79-V79</x:f>
        <x:v>128</x:v>
      </x:c>
    </x:row>
    <x:row r="80" ht="48" customHeight="1">
      <x:c r="A80" s="10" t="n">
        <x:v>74</x:v>
      </x:c>
      <x:c r="B80" s="10" t="n">
        <x:f>L79</x:f>
        <x:v>4535</x:v>
      </x:c>
      <x:c r="C80" s="10" t="n">
        <x:f>'参数'!$D$7*'参数'!$D$11*'参数'!$D$15</x:f>
        <x:v>720</x:v>
      </x:c>
      <x:c r="D80" s="10" t="n">
        <x:f>'参数'!$D$7*'参数'!$D$19</x:f>
        <x:v>240</x:v>
      </x:c>
      <x:c r="E80" s="10" t="n">
        <x:f>'参数'!$D$23*'参数'!$D$53+IF(MOD(A80,7)=0,'参数'!$D$54,0)</x:f>
        <x:v>40</x:v>
      </x:c>
      <x:c r="F80" s="10" t="n">
        <x:f>(INT(A80*'参数'!$D$35/7)-INT((A80-1)*'参数'!$D$35/7))*IF(A80&lt;=30,'参数'!$D$56,IF(A80&lt;=60,'参数'!$D$57,'参数'!$D$58))+IF(A80=1,60,0)</x:f>
        <x:v>0</x:v>
      </x:c>
      <x:c r="G80" s="10" t="n">
        <x:f>(INT(A80*'参数'!$D$27)-INT((A80-1)*'参数'!$D$27))*'参数'!$D$55</x:f>
        <x:v>35</x:v>
      </x:c>
      <x:c r="H80" s="10" t="n">
        <x:f>'参数'!$D$31</x:f>
        <x:v>10</x:v>
      </x:c>
      <x:c r="I80" s="10" t="n">
        <x:f>(INT(A80*'参数'!$D$39/7)-INT((A80-1)*'参数'!$D$39/7))*'参数'!$D$59</x:f>
        <x:v>0</x:v>
      </x:c>
      <x:c r="J80" s="10" t="n">
        <x:f>IF(A80=30,4000,IF(A80=60,6000,IF(A80=90,9000,IF(MOD(A80,7)=0,'参数'!$D$43,0))))</x:f>
        <x:v>0</x:v>
      </x:c>
      <x:c r="K80" s="10" t="n">
        <x:f>IF(B80+C80-D80+E80-F80-G80-H80-I80-'参数'!$D$52&gt;=J80,J80,0)</x:f>
        <x:v>0</x:v>
      </x:c>
      <x:c r="L80" s="10" t="n">
        <x:f>B80+C80-D80+E80-F80-G80-H80-I80-K80</x:f>
        <x:v>5010</x:v>
      </x:c>
      <x:c r="M80" s="10" t="n">
        <x:f>IF(A80=1,'参数'!$D$64,0)+IF(MOD(A80,7)=0,'参数'!$D$62,0)+IF(MOD(A80,30)=0,'参数'!$D$63,0)</x:f>
        <x:v>0</x:v>
      </x:c>
      <x:c r="N80" s="10" t="n">
        <x:f>IF(OR(A80=1,A80=7),'参数'!$D$65/2,0)+IF(MOD(A80,7)=0,'参数'!$D$66,0)</x:f>
        <x:v>0</x:v>
      </x:c>
      <x:c r="O80" s="10" t="n">
        <x:f>N80+INT((P79+M80)/'参数'!$D$61)</x:f>
        <x:v>0</x:v>
      </x:c>
      <x:c r="P80" s="10" t="n">
        <x:f>P79+M80-(O80-N80)*'参数'!$D$61</x:f>
        <x:v>0</x:v>
      </x:c>
      <x:c r="Q80" s="10" t="n">
        <x:f>IF(OR(A80=1,A80=31,A80=61),'参数'!$D$70*'参数'!$D$60,0)</x:f>
        <x:v>0</x:v>
      </x:c>
      <x:c r="R80" s="10" t="n">
        <x:f>R79+Q80</x:f>
        <x:v>0</x:v>
      </x:c>
      <x:c r="S80" s="10" t="n">
        <x:f>S79+O80</x:f>
        <x:v>34</x:v>
      </x:c>
      <x:c r="T80" s="10" t="n">
        <x:f>O80*2+IF(MOD(A80,7)=0,'参数'!$D$68,0)+IF(A80=7,'参数'!$D$69,0)</x:f>
        <x:v>0</x:v>
      </x:c>
      <x:c r="U80" s="10" t="n">
        <x:f>IF(A80=90,160,0)</x:f>
        <x:v>0</x:v>
      </x:c>
      <x:c r="V80" s="10" t="n">
        <x:f>IF(W79+T80&gt;=U80,U80,0)</x:f>
        <x:v>0</x:v>
      </x:c>
      <x:c r="W80" s="10" t="n">
        <x:f>W79+T80-V80</x:f>
        <x:v>128</x:v>
      </x:c>
    </x:row>
    <x:row r="81" ht="48" customHeight="1">
      <x:c r="A81" s="9" t="n">
        <x:v>75</x:v>
      </x:c>
      <x:c r="B81" s="9" t="n">
        <x:f>L80</x:f>
        <x:v>5010</x:v>
      </x:c>
      <x:c r="C81" s="9" t="n">
        <x:f>'参数'!$D$7*'参数'!$D$11*'参数'!$D$15</x:f>
        <x:v>720</x:v>
      </x:c>
      <x:c r="D81" s="9" t="n">
        <x:f>'参数'!$D$7*'参数'!$D$19</x:f>
        <x:v>240</x:v>
      </x:c>
      <x:c r="E81" s="9" t="n">
        <x:f>'参数'!$D$23*'参数'!$D$53+IF(MOD(A81,7)=0,'参数'!$D$54,0)</x:f>
        <x:v>40</x:v>
      </x:c>
      <x:c r="F81" s="9" t="n">
        <x:f>(INT(A81*'参数'!$D$35/7)-INT((A81-1)*'参数'!$D$35/7))*IF(A81&lt;=30,'参数'!$D$56,IF(A81&lt;=60,'参数'!$D$57,'参数'!$D$58))+IF(A81=1,60,0)</x:f>
        <x:v>500</x:v>
      </x:c>
      <x:c r="G81" s="9" t="n">
        <x:f>(INT(A81*'参数'!$D$27)-INT((A81-1)*'参数'!$D$27))*'参数'!$D$55</x:f>
        <x:v>35</x:v>
      </x:c>
      <x:c r="H81" s="9" t="n">
        <x:f>'参数'!$D$31</x:f>
        <x:v>10</x:v>
      </x:c>
      <x:c r="I81" s="9" t="n">
        <x:f>(INT(A81*'参数'!$D$39/7)-INT((A81-1)*'参数'!$D$39/7))*'参数'!$D$59</x:f>
        <x:v>0</x:v>
      </x:c>
      <x:c r="J81" s="9" t="n">
        <x:f>IF(A81=30,4000,IF(A81=60,6000,IF(A81=90,9000,IF(MOD(A81,7)=0,'参数'!$D$43,0))))</x:f>
        <x:v>0</x:v>
      </x:c>
      <x:c r="K81" s="9" t="n">
        <x:f>IF(B81+C81-D81+E81-F81-G81-H81-I81-'参数'!$D$52&gt;=J81,J81,0)</x:f>
        <x:v>0</x:v>
      </x:c>
      <x:c r="L81" s="9" t="n">
        <x:f>B81+C81-D81+E81-F81-G81-H81-I81-K81</x:f>
        <x:v>4985</x:v>
      </x:c>
      <x:c r="M81" s="9" t="n">
        <x:f>IF(A81=1,'参数'!$D$64,0)+IF(MOD(A81,7)=0,'参数'!$D$62,0)+IF(MOD(A81,30)=0,'参数'!$D$63,0)</x:f>
        <x:v>0</x:v>
      </x:c>
      <x:c r="N81" s="9" t="n">
        <x:f>IF(OR(A81=1,A81=7),'参数'!$D$65/2,0)+IF(MOD(A81,7)=0,'参数'!$D$66,0)</x:f>
        <x:v>0</x:v>
      </x:c>
      <x:c r="O81" s="9" t="n">
        <x:f>N81+INT((P80+M81)/'参数'!$D$61)</x:f>
        <x:v>0</x:v>
      </x:c>
      <x:c r="P81" s="9" t="n">
        <x:f>P80+M81-(O81-N81)*'参数'!$D$61</x:f>
        <x:v>0</x:v>
      </x:c>
      <x:c r="Q81" s="9" t="n">
        <x:f>IF(OR(A81=1,A81=31,A81=61),'参数'!$D$70*'参数'!$D$60,0)</x:f>
        <x:v>0</x:v>
      </x:c>
      <x:c r="R81" s="9" t="n">
        <x:f>R80+Q81</x:f>
        <x:v>0</x:v>
      </x:c>
      <x:c r="S81" s="9" t="n">
        <x:f>S80+O81</x:f>
        <x:v>34</x:v>
      </x:c>
      <x:c r="T81" s="9" t="n">
        <x:f>O81*2+IF(MOD(A81,7)=0,'参数'!$D$68,0)+IF(A81=7,'参数'!$D$69,0)</x:f>
        <x:v>0</x:v>
      </x:c>
      <x:c r="U81" s="9" t="n">
        <x:f>IF(A81=90,160,0)</x:f>
        <x:v>0</x:v>
      </x:c>
      <x:c r="V81" s="9" t="n">
        <x:f>IF(W80+T81&gt;=U81,U81,0)</x:f>
        <x:v>0</x:v>
      </x:c>
      <x:c r="W81" s="9" t="n">
        <x:f>W80+T81-V81</x:f>
        <x:v>128</x:v>
      </x:c>
    </x:row>
    <x:row r="82" ht="48" customHeight="1">
      <x:c r="A82" s="10" t="n">
        <x:v>76</x:v>
      </x:c>
      <x:c r="B82" s="10" t="n">
        <x:f>L81</x:f>
        <x:v>4985</x:v>
      </x:c>
      <x:c r="C82" s="10" t="n">
        <x:f>'参数'!$D$7*'参数'!$D$11*'参数'!$D$15</x:f>
        <x:v>720</x:v>
      </x:c>
      <x:c r="D82" s="10" t="n">
        <x:f>'参数'!$D$7*'参数'!$D$19</x:f>
        <x:v>240</x:v>
      </x:c>
      <x:c r="E82" s="10" t="n">
        <x:f>'参数'!$D$23*'参数'!$D$53+IF(MOD(A82,7)=0,'参数'!$D$54,0)</x:f>
        <x:v>40</x:v>
      </x:c>
      <x:c r="F82" s="10" t="n">
        <x:f>(INT(A82*'参数'!$D$35/7)-INT((A82-1)*'参数'!$D$35/7))*IF(A82&lt;=30,'参数'!$D$56,IF(A82&lt;=60,'参数'!$D$57,'参数'!$D$58))+IF(A82=1,60,0)</x:f>
        <x:v>0</x:v>
      </x:c>
      <x:c r="G82" s="10" t="n">
        <x:f>(INT(A82*'参数'!$D$27)-INT((A82-1)*'参数'!$D$27))*'参数'!$D$55</x:f>
        <x:v>35</x:v>
      </x:c>
      <x:c r="H82" s="10" t="n">
        <x:f>'参数'!$D$31</x:f>
        <x:v>10</x:v>
      </x:c>
      <x:c r="I82" s="10" t="n">
        <x:f>(INT(A82*'参数'!$D$39/7)-INT((A82-1)*'参数'!$D$39/7))*'参数'!$D$59</x:f>
        <x:v>0</x:v>
      </x:c>
      <x:c r="J82" s="10" t="n">
        <x:f>IF(A82=30,4000,IF(A82=60,6000,IF(A82=90,9000,IF(MOD(A82,7)=0,'参数'!$D$43,0))))</x:f>
        <x:v>0</x:v>
      </x:c>
      <x:c r="K82" s="10" t="n">
        <x:f>IF(B82+C82-D82+E82-F82-G82-H82-I82-'参数'!$D$52&gt;=J82,J82,0)</x:f>
        <x:v>0</x:v>
      </x:c>
      <x:c r="L82" s="10" t="n">
        <x:f>B82+C82-D82+E82-F82-G82-H82-I82-K82</x:f>
        <x:v>5460</x:v>
      </x:c>
      <x:c r="M82" s="10" t="n">
        <x:f>IF(A82=1,'参数'!$D$64,0)+IF(MOD(A82,7)=0,'参数'!$D$62,0)+IF(MOD(A82,30)=0,'参数'!$D$63,0)</x:f>
        <x:v>0</x:v>
      </x:c>
      <x:c r="N82" s="10" t="n">
        <x:f>IF(OR(A82=1,A82=7),'参数'!$D$65/2,0)+IF(MOD(A82,7)=0,'参数'!$D$66,0)</x:f>
        <x:v>0</x:v>
      </x:c>
      <x:c r="O82" s="10" t="n">
        <x:f>N82+INT((P81+M82)/'参数'!$D$61)</x:f>
        <x:v>0</x:v>
      </x:c>
      <x:c r="P82" s="10" t="n">
        <x:f>P81+M82-(O82-N82)*'参数'!$D$61</x:f>
        <x:v>0</x:v>
      </x:c>
      <x:c r="Q82" s="10" t="n">
        <x:f>IF(OR(A82=1,A82=31,A82=61),'参数'!$D$70*'参数'!$D$60,0)</x:f>
        <x:v>0</x:v>
      </x:c>
      <x:c r="R82" s="10" t="n">
        <x:f>R81+Q82</x:f>
        <x:v>0</x:v>
      </x:c>
      <x:c r="S82" s="10" t="n">
        <x:f>S81+O82</x:f>
        <x:v>34</x:v>
      </x:c>
      <x:c r="T82" s="10" t="n">
        <x:f>O82*2+IF(MOD(A82,7)=0,'参数'!$D$68,0)+IF(A82=7,'参数'!$D$69,0)</x:f>
        <x:v>0</x:v>
      </x:c>
      <x:c r="U82" s="10" t="n">
        <x:f>IF(A82=90,160,0)</x:f>
        <x:v>0</x:v>
      </x:c>
      <x:c r="V82" s="10" t="n">
        <x:f>IF(W81+T82&gt;=U82,U82,0)</x:f>
        <x:v>0</x:v>
      </x:c>
      <x:c r="W82" s="10" t="n">
        <x:f>W81+T82-V82</x:f>
        <x:v>128</x:v>
      </x:c>
    </x:row>
    <x:row r="83" ht="48" customHeight="1">
      <x:c r="A83" s="9" t="n">
        <x:v>77</x:v>
      </x:c>
      <x:c r="B83" s="9" t="n">
        <x:f>L82</x:f>
        <x:v>5460</x:v>
      </x:c>
      <x:c r="C83" s="9" t="n">
        <x:f>'参数'!$D$7*'参数'!$D$11*'参数'!$D$15</x:f>
        <x:v>720</x:v>
      </x:c>
      <x:c r="D83" s="9" t="n">
        <x:f>'参数'!$D$7*'参数'!$D$19</x:f>
        <x:v>240</x:v>
      </x:c>
      <x:c r="E83" s="9" t="n">
        <x:f>'参数'!$D$23*'参数'!$D$53+IF(MOD(A83,7)=0,'参数'!$D$54,0)</x:f>
        <x:v>180</x:v>
      </x:c>
      <x:c r="F83" s="9" t="n">
        <x:f>(INT(A83*'参数'!$D$35/7)-INT((A83-1)*'参数'!$D$35/7))*IF(A83&lt;=30,'参数'!$D$56,IF(A83&lt;=60,'参数'!$D$57,'参数'!$D$58))+IF(A83=1,60,0)</x:f>
        <x:v>500</x:v>
      </x:c>
      <x:c r="G83" s="9" t="n">
        <x:f>(INT(A83*'参数'!$D$27)-INT((A83-1)*'参数'!$D$27))*'参数'!$D$55</x:f>
        <x:v>35</x:v>
      </x:c>
      <x:c r="H83" s="9" t="n">
        <x:f>'参数'!$D$31</x:f>
        <x:v>10</x:v>
      </x:c>
      <x:c r="I83" s="9" t="n">
        <x:f>(INT(A83*'参数'!$D$39/7)-INT((A83-1)*'参数'!$D$39/7))*'参数'!$D$59</x:f>
        <x:v>300</x:v>
      </x:c>
      <x:c r="J83" s="9" t="n">
        <x:f>IF(A83=30,4000,IF(A83=60,6000,IF(A83=90,9000,IF(MOD(A83,7)=0,'参数'!$D$43,0))))</x:f>
        <x:v>900</x:v>
      </x:c>
      <x:c r="K83" s="9" t="n">
        <x:f>IF(B83+C83-D83+E83-F83-G83-H83-I83-'参数'!$D$52&gt;=J83,J83,0)</x:f>
        <x:v>900</x:v>
      </x:c>
      <x:c r="L83" s="9" t="n">
        <x:f>B83+C83-D83+E83-F83-G83-H83-I83-K83</x:f>
        <x:v>4375</x:v>
      </x:c>
      <x:c r="M83" s="9" t="n">
        <x:f>IF(A83=1,'参数'!$D$64,0)+IF(MOD(A83,7)=0,'参数'!$D$62,0)+IF(MOD(A83,30)=0,'参数'!$D$63,0)</x:f>
        <x:v>60</x:v>
      </x:c>
      <x:c r="N83" s="9" t="n">
        <x:f>IF(OR(A83=1,A83=7),'参数'!$D$65/2,0)+IF(MOD(A83,7)=0,'参数'!$D$66,0)</x:f>
        <x:v>1</x:v>
      </x:c>
      <x:c r="O83" s="9" t="n">
        <x:f>N83+INT((P82+M83)/'参数'!$D$61)</x:f>
        <x:v>2</x:v>
      </x:c>
      <x:c r="P83" s="9" t="n">
        <x:f>P82+M83-(O83-N83)*'参数'!$D$61</x:f>
        <x:v>0</x:v>
      </x:c>
      <x:c r="Q83" s="9" t="n">
        <x:f>IF(OR(A83=1,A83=31,A83=61),'参数'!$D$70*'参数'!$D$60,0)</x:f>
        <x:v>0</x:v>
      </x:c>
      <x:c r="R83" s="9" t="n">
        <x:f>R82+Q83</x:f>
        <x:v>0</x:v>
      </x:c>
      <x:c r="S83" s="9" t="n">
        <x:f>S82+O83</x:f>
        <x:v>36</x:v>
      </x:c>
      <x:c r="T83" s="9" t="n">
        <x:f>O83*2+IF(MOD(A83,7)=0,'参数'!$D$68,0)+IF(A83=7,'参数'!$D$69,0)</x:f>
        <x:v>9</x:v>
      </x:c>
      <x:c r="U83" s="9" t="n">
        <x:f>IF(A83=90,160,0)</x:f>
        <x:v>0</x:v>
      </x:c>
      <x:c r="V83" s="9" t="n">
        <x:f>IF(W82+T83&gt;=U83,U83,0)</x:f>
        <x:v>0</x:v>
      </x:c>
      <x:c r="W83" s="9" t="n">
        <x:f>W82+T83-V83</x:f>
        <x:v>137</x:v>
      </x:c>
    </x:row>
    <x:row r="84" ht="48" customHeight="1">
      <x:c r="A84" s="10" t="n">
        <x:v>78</x:v>
      </x:c>
      <x:c r="B84" s="10" t="n">
        <x:f>L83</x:f>
        <x:v>4375</x:v>
      </x:c>
      <x:c r="C84" s="10" t="n">
        <x:f>'参数'!$D$7*'参数'!$D$11*'参数'!$D$15</x:f>
        <x:v>720</x:v>
      </x:c>
      <x:c r="D84" s="10" t="n">
        <x:f>'参数'!$D$7*'参数'!$D$19</x:f>
        <x:v>240</x:v>
      </x:c>
      <x:c r="E84" s="10" t="n">
        <x:f>'参数'!$D$23*'参数'!$D$53+IF(MOD(A84,7)=0,'参数'!$D$54,0)</x:f>
        <x:v>40</x:v>
      </x:c>
      <x:c r="F84" s="10" t="n">
        <x:f>(INT(A84*'参数'!$D$35/7)-INT((A84-1)*'参数'!$D$35/7))*IF(A84&lt;=30,'参数'!$D$56,IF(A84&lt;=60,'参数'!$D$57,'参数'!$D$58))+IF(A84=1,60,0)</x:f>
        <x:v>0</x:v>
      </x:c>
      <x:c r="G84" s="10" t="n">
        <x:f>(INT(A84*'参数'!$D$27)-INT((A84-1)*'参数'!$D$27))*'参数'!$D$55</x:f>
        <x:v>35</x:v>
      </x:c>
      <x:c r="H84" s="10" t="n">
        <x:f>'参数'!$D$31</x:f>
        <x:v>10</x:v>
      </x:c>
      <x:c r="I84" s="10" t="n">
        <x:f>(INT(A84*'参数'!$D$39/7)-INT((A84-1)*'参数'!$D$39/7))*'参数'!$D$59</x:f>
        <x:v>0</x:v>
      </x:c>
      <x:c r="J84" s="10" t="n">
        <x:f>IF(A84=30,4000,IF(A84=60,6000,IF(A84=90,9000,IF(MOD(A84,7)=0,'参数'!$D$43,0))))</x:f>
        <x:v>0</x:v>
      </x:c>
      <x:c r="K84" s="10" t="n">
        <x:f>IF(B84+C84-D84+E84-F84-G84-H84-I84-'参数'!$D$52&gt;=J84,J84,0)</x:f>
        <x:v>0</x:v>
      </x:c>
      <x:c r="L84" s="10" t="n">
        <x:f>B84+C84-D84+E84-F84-G84-H84-I84-K84</x:f>
        <x:v>4850</x:v>
      </x:c>
      <x:c r="M84" s="10" t="n">
        <x:f>IF(A84=1,'参数'!$D$64,0)+IF(MOD(A84,7)=0,'参数'!$D$62,0)+IF(MOD(A84,30)=0,'参数'!$D$63,0)</x:f>
        <x:v>0</x:v>
      </x:c>
      <x:c r="N84" s="10" t="n">
        <x:f>IF(OR(A84=1,A84=7),'参数'!$D$65/2,0)+IF(MOD(A84,7)=0,'参数'!$D$66,0)</x:f>
        <x:v>0</x:v>
      </x:c>
      <x:c r="O84" s="10" t="n">
        <x:f>N84+INT((P83+M84)/'参数'!$D$61)</x:f>
        <x:v>0</x:v>
      </x:c>
      <x:c r="P84" s="10" t="n">
        <x:f>P83+M84-(O84-N84)*'参数'!$D$61</x:f>
        <x:v>0</x:v>
      </x:c>
      <x:c r="Q84" s="10" t="n">
        <x:f>IF(OR(A84=1,A84=31,A84=61),'参数'!$D$70*'参数'!$D$60,0)</x:f>
        <x:v>0</x:v>
      </x:c>
      <x:c r="R84" s="10" t="n">
        <x:f>R83+Q84</x:f>
        <x:v>0</x:v>
      </x:c>
      <x:c r="S84" s="10" t="n">
        <x:f>S83+O84</x:f>
        <x:v>36</x:v>
      </x:c>
      <x:c r="T84" s="10" t="n">
        <x:f>O84*2+IF(MOD(A84,7)=0,'参数'!$D$68,0)+IF(A84=7,'参数'!$D$69,0)</x:f>
        <x:v>0</x:v>
      </x:c>
      <x:c r="U84" s="10" t="n">
        <x:f>IF(A84=90,160,0)</x:f>
        <x:v>0</x:v>
      </x:c>
      <x:c r="V84" s="10" t="n">
        <x:f>IF(W83+T84&gt;=U84,U84,0)</x:f>
        <x:v>0</x:v>
      </x:c>
      <x:c r="W84" s="10" t="n">
        <x:f>W83+T84-V84</x:f>
        <x:v>137</x:v>
      </x:c>
    </x:row>
    <x:row r="85" ht="48" customHeight="1">
      <x:c r="A85" s="9" t="n">
        <x:v>79</x:v>
      </x:c>
      <x:c r="B85" s="9" t="n">
        <x:f>L84</x:f>
        <x:v>4850</x:v>
      </x:c>
      <x:c r="C85" s="9" t="n">
        <x:f>'参数'!$D$7*'参数'!$D$11*'参数'!$D$15</x:f>
        <x:v>720</x:v>
      </x:c>
      <x:c r="D85" s="9" t="n">
        <x:f>'参数'!$D$7*'参数'!$D$19</x:f>
        <x:v>240</x:v>
      </x:c>
      <x:c r="E85" s="9" t="n">
        <x:f>'参数'!$D$23*'参数'!$D$53+IF(MOD(A85,7)=0,'参数'!$D$54,0)</x:f>
        <x:v>40</x:v>
      </x:c>
      <x:c r="F85" s="9" t="n">
        <x:f>(INT(A85*'参数'!$D$35/7)-INT((A85-1)*'参数'!$D$35/7))*IF(A85&lt;=30,'参数'!$D$56,IF(A85&lt;=60,'参数'!$D$57,'参数'!$D$58))+IF(A85=1,60,0)</x:f>
        <x:v>0</x:v>
      </x:c>
      <x:c r="G85" s="9" t="n">
        <x:f>(INT(A85*'参数'!$D$27)-INT((A85-1)*'参数'!$D$27))*'参数'!$D$55</x:f>
        <x:v>35</x:v>
      </x:c>
      <x:c r="H85" s="9" t="n">
        <x:f>'参数'!$D$31</x:f>
        <x:v>10</x:v>
      </x:c>
      <x:c r="I85" s="9" t="n">
        <x:f>(INT(A85*'参数'!$D$39/7)-INT((A85-1)*'参数'!$D$39/7))*'参数'!$D$59</x:f>
        <x:v>0</x:v>
      </x:c>
      <x:c r="J85" s="9" t="n">
        <x:f>IF(A85=30,4000,IF(A85=60,6000,IF(A85=90,9000,IF(MOD(A85,7)=0,'参数'!$D$43,0))))</x:f>
        <x:v>0</x:v>
      </x:c>
      <x:c r="K85" s="9" t="n">
        <x:f>IF(B85+C85-D85+E85-F85-G85-H85-I85-'参数'!$D$52&gt;=J85,J85,0)</x:f>
        <x:v>0</x:v>
      </x:c>
      <x:c r="L85" s="9" t="n">
        <x:f>B85+C85-D85+E85-F85-G85-H85-I85-K85</x:f>
        <x:v>5325</x:v>
      </x:c>
      <x:c r="M85" s="9" t="n">
        <x:f>IF(A85=1,'参数'!$D$64,0)+IF(MOD(A85,7)=0,'参数'!$D$62,0)+IF(MOD(A85,30)=0,'参数'!$D$63,0)</x:f>
        <x:v>0</x:v>
      </x:c>
      <x:c r="N85" s="9" t="n">
        <x:f>IF(OR(A85=1,A85=7),'参数'!$D$65/2,0)+IF(MOD(A85,7)=0,'参数'!$D$66,0)</x:f>
        <x:v>0</x:v>
      </x:c>
      <x:c r="O85" s="9" t="n">
        <x:f>N85+INT((P84+M85)/'参数'!$D$61)</x:f>
        <x:v>0</x:v>
      </x:c>
      <x:c r="P85" s="9" t="n">
        <x:f>P84+M85-(O85-N85)*'参数'!$D$61</x:f>
        <x:v>0</x:v>
      </x:c>
      <x:c r="Q85" s="9" t="n">
        <x:f>IF(OR(A85=1,A85=31,A85=61),'参数'!$D$70*'参数'!$D$60,0)</x:f>
        <x:v>0</x:v>
      </x:c>
      <x:c r="R85" s="9" t="n">
        <x:f>R84+Q85</x:f>
        <x:v>0</x:v>
      </x:c>
      <x:c r="S85" s="9" t="n">
        <x:f>S84+O85</x:f>
        <x:v>36</x:v>
      </x:c>
      <x:c r="T85" s="9" t="n">
        <x:f>O85*2+IF(MOD(A85,7)=0,'参数'!$D$68,0)+IF(A85=7,'参数'!$D$69,0)</x:f>
        <x:v>0</x:v>
      </x:c>
      <x:c r="U85" s="9" t="n">
        <x:f>IF(A85=90,160,0)</x:f>
        <x:v>0</x:v>
      </x:c>
      <x:c r="V85" s="9" t="n">
        <x:f>IF(W84+T85&gt;=U85,U85,0)</x:f>
        <x:v>0</x:v>
      </x:c>
      <x:c r="W85" s="9" t="n">
        <x:f>W84+T85-V85</x:f>
        <x:v>137</x:v>
      </x:c>
    </x:row>
    <x:row r="86" ht="48" customHeight="1">
      <x:c r="A86" s="10" t="n">
        <x:v>80</x:v>
      </x:c>
      <x:c r="B86" s="10" t="n">
        <x:f>L85</x:f>
        <x:v>5325</x:v>
      </x:c>
      <x:c r="C86" s="10" t="n">
        <x:f>'参数'!$D$7*'参数'!$D$11*'参数'!$D$15</x:f>
        <x:v>720</x:v>
      </x:c>
      <x:c r="D86" s="10" t="n">
        <x:f>'参数'!$D$7*'参数'!$D$19</x:f>
        <x:v>240</x:v>
      </x:c>
      <x:c r="E86" s="10" t="n">
        <x:f>'参数'!$D$23*'参数'!$D$53+IF(MOD(A86,7)=0,'参数'!$D$54,0)</x:f>
        <x:v>40</x:v>
      </x:c>
      <x:c r="F86" s="10" t="n">
        <x:f>(INT(A86*'参数'!$D$35/7)-INT((A86-1)*'参数'!$D$35/7))*IF(A86&lt;=30,'参数'!$D$56,IF(A86&lt;=60,'参数'!$D$57,'参数'!$D$58))+IF(A86=1,60,0)</x:f>
        <x:v>500</x:v>
      </x:c>
      <x:c r="G86" s="10" t="n">
        <x:f>(INT(A86*'参数'!$D$27)-INT((A86-1)*'参数'!$D$27))*'参数'!$D$55</x:f>
        <x:v>35</x:v>
      </x:c>
      <x:c r="H86" s="10" t="n">
        <x:f>'参数'!$D$31</x:f>
        <x:v>10</x:v>
      </x:c>
      <x:c r="I86" s="10" t="n">
        <x:f>(INT(A86*'参数'!$D$39/7)-INT((A86-1)*'参数'!$D$39/7))*'参数'!$D$59</x:f>
        <x:v>0</x:v>
      </x:c>
      <x:c r="J86" s="10" t="n">
        <x:f>IF(A86=30,4000,IF(A86=60,6000,IF(A86=90,9000,IF(MOD(A86,7)=0,'参数'!$D$43,0))))</x:f>
        <x:v>0</x:v>
      </x:c>
      <x:c r="K86" s="10" t="n">
        <x:f>IF(B86+C86-D86+E86-F86-G86-H86-I86-'参数'!$D$52&gt;=J86,J86,0)</x:f>
        <x:v>0</x:v>
      </x:c>
      <x:c r="L86" s="10" t="n">
        <x:f>B86+C86-D86+E86-F86-G86-H86-I86-K86</x:f>
        <x:v>5300</x:v>
      </x:c>
      <x:c r="M86" s="10" t="n">
        <x:f>IF(A86=1,'参数'!$D$64,0)+IF(MOD(A86,7)=0,'参数'!$D$62,0)+IF(MOD(A86,30)=0,'参数'!$D$63,0)</x:f>
        <x:v>0</x:v>
      </x:c>
      <x:c r="N86" s="10" t="n">
        <x:f>IF(OR(A86=1,A86=7),'参数'!$D$65/2,0)+IF(MOD(A86,7)=0,'参数'!$D$66,0)</x:f>
        <x:v>0</x:v>
      </x:c>
      <x:c r="O86" s="10" t="n">
        <x:f>N86+INT((P85+M86)/'参数'!$D$61)</x:f>
        <x:v>0</x:v>
      </x:c>
      <x:c r="P86" s="10" t="n">
        <x:f>P85+M86-(O86-N86)*'参数'!$D$61</x:f>
        <x:v>0</x:v>
      </x:c>
      <x:c r="Q86" s="10" t="n">
        <x:f>IF(OR(A86=1,A86=31,A86=61),'参数'!$D$70*'参数'!$D$60,0)</x:f>
        <x:v>0</x:v>
      </x:c>
      <x:c r="R86" s="10" t="n">
        <x:f>R85+Q86</x:f>
        <x:v>0</x:v>
      </x:c>
      <x:c r="S86" s="10" t="n">
        <x:f>S85+O86</x:f>
        <x:v>36</x:v>
      </x:c>
      <x:c r="T86" s="10" t="n">
        <x:f>O86*2+IF(MOD(A86,7)=0,'参数'!$D$68,0)+IF(A86=7,'参数'!$D$69,0)</x:f>
        <x:v>0</x:v>
      </x:c>
      <x:c r="U86" s="10" t="n">
        <x:f>IF(A86=90,160,0)</x:f>
        <x:v>0</x:v>
      </x:c>
      <x:c r="V86" s="10" t="n">
        <x:f>IF(W85+T86&gt;=U86,U86,0)</x:f>
        <x:v>0</x:v>
      </x:c>
      <x:c r="W86" s="10" t="n">
        <x:f>W85+T86-V86</x:f>
        <x:v>137</x:v>
      </x:c>
    </x:row>
    <x:row r="87" ht="48" customHeight="1">
      <x:c r="A87" s="9" t="n">
        <x:v>81</x:v>
      </x:c>
      <x:c r="B87" s="9" t="n">
        <x:f>L86</x:f>
        <x:v>5300</x:v>
      </x:c>
      <x:c r="C87" s="9" t="n">
        <x:f>'参数'!$D$7*'参数'!$D$11*'参数'!$D$15</x:f>
        <x:v>720</x:v>
      </x:c>
      <x:c r="D87" s="9" t="n">
        <x:f>'参数'!$D$7*'参数'!$D$19</x:f>
        <x:v>240</x:v>
      </x:c>
      <x:c r="E87" s="9" t="n">
        <x:f>'参数'!$D$23*'参数'!$D$53+IF(MOD(A87,7)=0,'参数'!$D$54,0)</x:f>
        <x:v>40</x:v>
      </x:c>
      <x:c r="F87" s="9" t="n">
        <x:f>(INT(A87*'参数'!$D$35/7)-INT((A87-1)*'参数'!$D$35/7))*IF(A87&lt;=30,'参数'!$D$56,IF(A87&lt;=60,'参数'!$D$57,'参数'!$D$58))+IF(A87=1,60,0)</x:f>
        <x:v>0</x:v>
      </x:c>
      <x:c r="G87" s="9" t="n">
        <x:f>(INT(A87*'参数'!$D$27)-INT((A87-1)*'参数'!$D$27))*'参数'!$D$55</x:f>
        <x:v>35</x:v>
      </x:c>
      <x:c r="H87" s="9" t="n">
        <x:f>'参数'!$D$31</x:f>
        <x:v>10</x:v>
      </x:c>
      <x:c r="I87" s="9" t="n">
        <x:f>(INT(A87*'参数'!$D$39/7)-INT((A87-1)*'参数'!$D$39/7))*'参数'!$D$59</x:f>
        <x:v>0</x:v>
      </x:c>
      <x:c r="J87" s="9" t="n">
        <x:f>IF(A87=30,4000,IF(A87=60,6000,IF(A87=90,9000,IF(MOD(A87,7)=0,'参数'!$D$43,0))))</x:f>
        <x:v>0</x:v>
      </x:c>
      <x:c r="K87" s="9" t="n">
        <x:f>IF(B87+C87-D87+E87-F87-G87-H87-I87-'参数'!$D$52&gt;=J87,J87,0)</x:f>
        <x:v>0</x:v>
      </x:c>
      <x:c r="L87" s="9" t="n">
        <x:f>B87+C87-D87+E87-F87-G87-H87-I87-K87</x:f>
        <x:v>5775</x:v>
      </x:c>
      <x:c r="M87" s="9" t="n">
        <x:f>IF(A87=1,'参数'!$D$64,0)+IF(MOD(A87,7)=0,'参数'!$D$62,0)+IF(MOD(A87,30)=0,'参数'!$D$63,0)</x:f>
        <x:v>0</x:v>
      </x:c>
      <x:c r="N87" s="9" t="n">
        <x:f>IF(OR(A87=1,A87=7),'参数'!$D$65/2,0)+IF(MOD(A87,7)=0,'参数'!$D$66,0)</x:f>
        <x:v>0</x:v>
      </x:c>
      <x:c r="O87" s="9" t="n">
        <x:f>N87+INT((P86+M87)/'参数'!$D$61)</x:f>
        <x:v>0</x:v>
      </x:c>
      <x:c r="P87" s="9" t="n">
        <x:f>P86+M87-(O87-N87)*'参数'!$D$61</x:f>
        <x:v>0</x:v>
      </x:c>
      <x:c r="Q87" s="9" t="n">
        <x:f>IF(OR(A87=1,A87=31,A87=61),'参数'!$D$70*'参数'!$D$60,0)</x:f>
        <x:v>0</x:v>
      </x:c>
      <x:c r="R87" s="9" t="n">
        <x:f>R86+Q87</x:f>
        <x:v>0</x:v>
      </x:c>
      <x:c r="S87" s="9" t="n">
        <x:f>S86+O87</x:f>
        <x:v>36</x:v>
      </x:c>
      <x:c r="T87" s="9" t="n">
        <x:f>O87*2+IF(MOD(A87,7)=0,'参数'!$D$68,0)+IF(A87=7,'参数'!$D$69,0)</x:f>
        <x:v>0</x:v>
      </x:c>
      <x:c r="U87" s="9" t="n">
        <x:f>IF(A87=90,160,0)</x:f>
        <x:v>0</x:v>
      </x:c>
      <x:c r="V87" s="9" t="n">
        <x:f>IF(W86+T87&gt;=U87,U87,0)</x:f>
        <x:v>0</x:v>
      </x:c>
      <x:c r="W87" s="9" t="n">
        <x:f>W86+T87-V87</x:f>
        <x:v>137</x:v>
      </x:c>
    </x:row>
    <x:row r="88" ht="48" customHeight="1">
      <x:c r="A88" s="10" t="n">
        <x:v>82</x:v>
      </x:c>
      <x:c r="B88" s="10" t="n">
        <x:f>L87</x:f>
        <x:v>5775</x:v>
      </x:c>
      <x:c r="C88" s="10" t="n">
        <x:f>'参数'!$D$7*'参数'!$D$11*'参数'!$D$15</x:f>
        <x:v>720</x:v>
      </x:c>
      <x:c r="D88" s="10" t="n">
        <x:f>'参数'!$D$7*'参数'!$D$19</x:f>
        <x:v>240</x:v>
      </x:c>
      <x:c r="E88" s="10" t="n">
        <x:f>'参数'!$D$23*'参数'!$D$53+IF(MOD(A88,7)=0,'参数'!$D$54,0)</x:f>
        <x:v>40</x:v>
      </x:c>
      <x:c r="F88" s="10" t="n">
        <x:f>(INT(A88*'参数'!$D$35/7)-INT((A88-1)*'参数'!$D$35/7))*IF(A88&lt;=30,'参数'!$D$56,IF(A88&lt;=60,'参数'!$D$57,'参数'!$D$58))+IF(A88=1,60,0)</x:f>
        <x:v>500</x:v>
      </x:c>
      <x:c r="G88" s="10" t="n">
        <x:f>(INT(A88*'参数'!$D$27)-INT((A88-1)*'参数'!$D$27))*'参数'!$D$55</x:f>
        <x:v>35</x:v>
      </x:c>
      <x:c r="H88" s="10" t="n">
        <x:f>'参数'!$D$31</x:f>
        <x:v>10</x:v>
      </x:c>
      <x:c r="I88" s="10" t="n">
        <x:f>(INT(A88*'参数'!$D$39/7)-INT((A88-1)*'参数'!$D$39/7))*'参数'!$D$59</x:f>
        <x:v>0</x:v>
      </x:c>
      <x:c r="J88" s="10" t="n">
        <x:f>IF(A88=30,4000,IF(A88=60,6000,IF(A88=90,9000,IF(MOD(A88,7)=0,'参数'!$D$43,0))))</x:f>
        <x:v>0</x:v>
      </x:c>
      <x:c r="K88" s="10" t="n">
        <x:f>IF(B88+C88-D88+E88-F88-G88-H88-I88-'参数'!$D$52&gt;=J88,J88,0)</x:f>
        <x:v>0</x:v>
      </x:c>
      <x:c r="L88" s="10" t="n">
        <x:f>B88+C88-D88+E88-F88-G88-H88-I88-K88</x:f>
        <x:v>5750</x:v>
      </x:c>
      <x:c r="M88" s="10" t="n">
        <x:f>IF(A88=1,'参数'!$D$64,0)+IF(MOD(A88,7)=0,'参数'!$D$62,0)+IF(MOD(A88,30)=0,'参数'!$D$63,0)</x:f>
        <x:v>0</x:v>
      </x:c>
      <x:c r="N88" s="10" t="n">
        <x:f>IF(OR(A88=1,A88=7),'参数'!$D$65/2,0)+IF(MOD(A88,7)=0,'参数'!$D$66,0)</x:f>
        <x:v>0</x:v>
      </x:c>
      <x:c r="O88" s="10" t="n">
        <x:f>N88+INT((P87+M88)/'参数'!$D$61)</x:f>
        <x:v>0</x:v>
      </x:c>
      <x:c r="P88" s="10" t="n">
        <x:f>P87+M88-(O88-N88)*'参数'!$D$61</x:f>
        <x:v>0</x:v>
      </x:c>
      <x:c r="Q88" s="10" t="n">
        <x:f>IF(OR(A88=1,A88=31,A88=61),'参数'!$D$70*'参数'!$D$60,0)</x:f>
        <x:v>0</x:v>
      </x:c>
      <x:c r="R88" s="10" t="n">
        <x:f>R87+Q88</x:f>
        <x:v>0</x:v>
      </x:c>
      <x:c r="S88" s="10" t="n">
        <x:f>S87+O88</x:f>
        <x:v>36</x:v>
      </x:c>
      <x:c r="T88" s="10" t="n">
        <x:f>O88*2+IF(MOD(A88,7)=0,'参数'!$D$68,0)+IF(A88=7,'参数'!$D$69,0)</x:f>
        <x:v>0</x:v>
      </x:c>
      <x:c r="U88" s="10" t="n">
        <x:f>IF(A88=90,160,0)</x:f>
        <x:v>0</x:v>
      </x:c>
      <x:c r="V88" s="10" t="n">
        <x:f>IF(W87+T88&gt;=U88,U88,0)</x:f>
        <x:v>0</x:v>
      </x:c>
      <x:c r="W88" s="10" t="n">
        <x:f>W87+T88-V88</x:f>
        <x:v>137</x:v>
      </x:c>
    </x:row>
    <x:row r="89" ht="48" customHeight="1">
      <x:c r="A89" s="9" t="n">
        <x:v>83</x:v>
      </x:c>
      <x:c r="B89" s="9" t="n">
        <x:f>L88</x:f>
        <x:v>5750</x:v>
      </x:c>
      <x:c r="C89" s="9" t="n">
        <x:f>'参数'!$D$7*'参数'!$D$11*'参数'!$D$15</x:f>
        <x:v>720</x:v>
      </x:c>
      <x:c r="D89" s="9" t="n">
        <x:f>'参数'!$D$7*'参数'!$D$19</x:f>
        <x:v>240</x:v>
      </x:c>
      <x:c r="E89" s="9" t="n">
        <x:f>'参数'!$D$23*'参数'!$D$53+IF(MOD(A89,7)=0,'参数'!$D$54,0)</x:f>
        <x:v>40</x:v>
      </x:c>
      <x:c r="F89" s="9" t="n">
        <x:f>(INT(A89*'参数'!$D$35/7)-INT((A89-1)*'参数'!$D$35/7))*IF(A89&lt;=30,'参数'!$D$56,IF(A89&lt;=60,'参数'!$D$57,'参数'!$D$58))+IF(A89=1,60,0)</x:f>
        <x:v>0</x:v>
      </x:c>
      <x:c r="G89" s="9" t="n">
        <x:f>(INT(A89*'参数'!$D$27)-INT((A89-1)*'参数'!$D$27))*'参数'!$D$55</x:f>
        <x:v>35</x:v>
      </x:c>
      <x:c r="H89" s="9" t="n">
        <x:f>'参数'!$D$31</x:f>
        <x:v>10</x:v>
      </x:c>
      <x:c r="I89" s="9" t="n">
        <x:f>(INT(A89*'参数'!$D$39/7)-INT((A89-1)*'参数'!$D$39/7))*'参数'!$D$59</x:f>
        <x:v>0</x:v>
      </x:c>
      <x:c r="J89" s="9" t="n">
        <x:f>IF(A89=30,4000,IF(A89=60,6000,IF(A89=90,9000,IF(MOD(A89,7)=0,'参数'!$D$43,0))))</x:f>
        <x:v>0</x:v>
      </x:c>
      <x:c r="K89" s="9" t="n">
        <x:f>IF(B89+C89-D89+E89-F89-G89-H89-I89-'参数'!$D$52&gt;=J89,J89,0)</x:f>
        <x:v>0</x:v>
      </x:c>
      <x:c r="L89" s="9" t="n">
        <x:f>B89+C89-D89+E89-F89-G89-H89-I89-K89</x:f>
        <x:v>6225</x:v>
      </x:c>
      <x:c r="M89" s="9" t="n">
        <x:f>IF(A89=1,'参数'!$D$64,0)+IF(MOD(A89,7)=0,'参数'!$D$62,0)+IF(MOD(A89,30)=0,'参数'!$D$63,0)</x:f>
        <x:v>0</x:v>
      </x:c>
      <x:c r="N89" s="9" t="n">
        <x:f>IF(OR(A89=1,A89=7),'参数'!$D$65/2,0)+IF(MOD(A89,7)=0,'参数'!$D$66,0)</x:f>
        <x:v>0</x:v>
      </x:c>
      <x:c r="O89" s="9" t="n">
        <x:f>N89+INT((P88+M89)/'参数'!$D$61)</x:f>
        <x:v>0</x:v>
      </x:c>
      <x:c r="P89" s="9" t="n">
        <x:f>P88+M89-(O89-N89)*'参数'!$D$61</x:f>
        <x:v>0</x:v>
      </x:c>
      <x:c r="Q89" s="9" t="n">
        <x:f>IF(OR(A89=1,A89=31,A89=61),'参数'!$D$70*'参数'!$D$60,0)</x:f>
        <x:v>0</x:v>
      </x:c>
      <x:c r="R89" s="9" t="n">
        <x:f>R88+Q89</x:f>
        <x:v>0</x:v>
      </x:c>
      <x:c r="S89" s="9" t="n">
        <x:f>S88+O89</x:f>
        <x:v>36</x:v>
      </x:c>
      <x:c r="T89" s="9" t="n">
        <x:f>O89*2+IF(MOD(A89,7)=0,'参数'!$D$68,0)+IF(A89=7,'参数'!$D$69,0)</x:f>
        <x:v>0</x:v>
      </x:c>
      <x:c r="U89" s="9" t="n">
        <x:f>IF(A89=90,160,0)</x:f>
        <x:v>0</x:v>
      </x:c>
      <x:c r="V89" s="9" t="n">
        <x:f>IF(W88+T89&gt;=U89,U89,0)</x:f>
        <x:v>0</x:v>
      </x:c>
      <x:c r="W89" s="9" t="n">
        <x:f>W88+T89-V89</x:f>
        <x:v>137</x:v>
      </x:c>
    </x:row>
    <x:row r="90" ht="48" customHeight="1">
      <x:c r="A90" s="10" t="n">
        <x:v>84</x:v>
      </x:c>
      <x:c r="B90" s="10" t="n">
        <x:f>L89</x:f>
        <x:v>6225</x:v>
      </x:c>
      <x:c r="C90" s="10" t="n">
        <x:f>'参数'!$D$7*'参数'!$D$11*'参数'!$D$15</x:f>
        <x:v>720</x:v>
      </x:c>
      <x:c r="D90" s="10" t="n">
        <x:f>'参数'!$D$7*'参数'!$D$19</x:f>
        <x:v>240</x:v>
      </x:c>
      <x:c r="E90" s="10" t="n">
        <x:f>'参数'!$D$23*'参数'!$D$53+IF(MOD(A90,7)=0,'参数'!$D$54,0)</x:f>
        <x:v>180</x:v>
      </x:c>
      <x:c r="F90" s="10" t="n">
        <x:f>(INT(A90*'参数'!$D$35/7)-INT((A90-1)*'参数'!$D$35/7))*IF(A90&lt;=30,'参数'!$D$56,IF(A90&lt;=60,'参数'!$D$57,'参数'!$D$58))+IF(A90=1,60,0)</x:f>
        <x:v>500</x:v>
      </x:c>
      <x:c r="G90" s="10" t="n">
        <x:f>(INT(A90*'参数'!$D$27)-INT((A90-1)*'参数'!$D$27))*'参数'!$D$55</x:f>
        <x:v>35</x:v>
      </x:c>
      <x:c r="H90" s="10" t="n">
        <x:f>'参数'!$D$31</x:f>
        <x:v>10</x:v>
      </x:c>
      <x:c r="I90" s="10" t="n">
        <x:f>(INT(A90*'参数'!$D$39/7)-INT((A90-1)*'参数'!$D$39/7))*'参数'!$D$59</x:f>
        <x:v>300</x:v>
      </x:c>
      <x:c r="J90" s="10" t="n">
        <x:f>IF(A90=30,4000,IF(A90=60,6000,IF(A90=90,9000,IF(MOD(A90,7)=0,'参数'!$D$43,0))))</x:f>
        <x:v>900</x:v>
      </x:c>
      <x:c r="K90" s="10" t="n">
        <x:f>IF(B90+C90-D90+E90-F90-G90-H90-I90-'参数'!$D$52&gt;=J90,J90,0)</x:f>
        <x:v>900</x:v>
      </x:c>
      <x:c r="L90" s="10" t="n">
        <x:f>B90+C90-D90+E90-F90-G90-H90-I90-K90</x:f>
        <x:v>5140</x:v>
      </x:c>
      <x:c r="M90" s="10" t="n">
        <x:f>IF(A90=1,'参数'!$D$64,0)+IF(MOD(A90,7)=0,'参数'!$D$62,0)+IF(MOD(A90,30)=0,'参数'!$D$63,0)</x:f>
        <x:v>60</x:v>
      </x:c>
      <x:c r="N90" s="10" t="n">
        <x:f>IF(OR(A90=1,A90=7),'参数'!$D$65/2,0)+IF(MOD(A90,7)=0,'参数'!$D$66,0)</x:f>
        <x:v>1</x:v>
      </x:c>
      <x:c r="O90" s="10" t="n">
        <x:f>N90+INT((P89+M90)/'参数'!$D$61)</x:f>
        <x:v>2</x:v>
      </x:c>
      <x:c r="P90" s="10" t="n">
        <x:f>P89+M90-(O90-N90)*'参数'!$D$61</x:f>
        <x:v>0</x:v>
      </x:c>
      <x:c r="Q90" s="10" t="n">
        <x:f>IF(OR(A90=1,A90=31,A90=61),'参数'!$D$70*'参数'!$D$60,0)</x:f>
        <x:v>0</x:v>
      </x:c>
      <x:c r="R90" s="10" t="n">
        <x:f>R89+Q90</x:f>
        <x:v>0</x:v>
      </x:c>
      <x:c r="S90" s="10" t="n">
        <x:f>S89+O90</x:f>
        <x:v>38</x:v>
      </x:c>
      <x:c r="T90" s="10" t="n">
        <x:f>O90*2+IF(MOD(A90,7)=0,'参数'!$D$68,0)+IF(A90=7,'参数'!$D$69,0)</x:f>
        <x:v>9</x:v>
      </x:c>
      <x:c r="U90" s="10" t="n">
        <x:f>IF(A90=90,160,0)</x:f>
        <x:v>0</x:v>
      </x:c>
      <x:c r="V90" s="10" t="n">
        <x:f>IF(W89+T90&gt;=U90,U90,0)</x:f>
        <x:v>0</x:v>
      </x:c>
      <x:c r="W90" s="10" t="n">
        <x:f>W89+T90-V90</x:f>
        <x:v>146</x:v>
      </x:c>
    </x:row>
    <x:row r="91" ht="48" customHeight="1">
      <x:c r="A91" s="9" t="n">
        <x:v>85</x:v>
      </x:c>
      <x:c r="B91" s="9" t="n">
        <x:f>L90</x:f>
        <x:v>5140</x:v>
      </x:c>
      <x:c r="C91" s="9" t="n">
        <x:f>'参数'!$D$7*'参数'!$D$11*'参数'!$D$15</x:f>
        <x:v>720</x:v>
      </x:c>
      <x:c r="D91" s="9" t="n">
        <x:f>'参数'!$D$7*'参数'!$D$19</x:f>
        <x:v>240</x:v>
      </x:c>
      <x:c r="E91" s="9" t="n">
        <x:f>'参数'!$D$23*'参数'!$D$53+IF(MOD(A91,7)=0,'参数'!$D$54,0)</x:f>
        <x:v>40</x:v>
      </x:c>
      <x:c r="F91" s="9" t="n">
        <x:f>(INT(A91*'参数'!$D$35/7)-INT((A91-1)*'参数'!$D$35/7))*IF(A91&lt;=30,'参数'!$D$56,IF(A91&lt;=60,'参数'!$D$57,'参数'!$D$58))+IF(A91=1,60,0)</x:f>
        <x:v>0</x:v>
      </x:c>
      <x:c r="G91" s="9" t="n">
        <x:f>(INT(A91*'参数'!$D$27)-INT((A91-1)*'参数'!$D$27))*'参数'!$D$55</x:f>
        <x:v>35</x:v>
      </x:c>
      <x:c r="H91" s="9" t="n">
        <x:f>'参数'!$D$31</x:f>
        <x:v>10</x:v>
      </x:c>
      <x:c r="I91" s="9" t="n">
        <x:f>(INT(A91*'参数'!$D$39/7)-INT((A91-1)*'参数'!$D$39/7))*'参数'!$D$59</x:f>
        <x:v>0</x:v>
      </x:c>
      <x:c r="J91" s="9" t="n">
        <x:f>IF(A91=30,4000,IF(A91=60,6000,IF(A91=90,9000,IF(MOD(A91,7)=0,'参数'!$D$43,0))))</x:f>
        <x:v>0</x:v>
      </x:c>
      <x:c r="K91" s="9" t="n">
        <x:f>IF(B91+C91-D91+E91-F91-G91-H91-I91-'参数'!$D$52&gt;=J91,J91,0)</x:f>
        <x:v>0</x:v>
      </x:c>
      <x:c r="L91" s="9" t="n">
        <x:f>B91+C91-D91+E91-F91-G91-H91-I91-K91</x:f>
        <x:v>5615</x:v>
      </x:c>
      <x:c r="M91" s="9" t="n">
        <x:f>IF(A91=1,'参数'!$D$64,0)+IF(MOD(A91,7)=0,'参数'!$D$62,0)+IF(MOD(A91,30)=0,'参数'!$D$63,0)</x:f>
        <x:v>0</x:v>
      </x:c>
      <x:c r="N91" s="9" t="n">
        <x:f>IF(OR(A91=1,A91=7),'参数'!$D$65/2,0)+IF(MOD(A91,7)=0,'参数'!$D$66,0)</x:f>
        <x:v>0</x:v>
      </x:c>
      <x:c r="O91" s="9" t="n">
        <x:f>N91+INT((P90+M91)/'参数'!$D$61)</x:f>
        <x:v>0</x:v>
      </x:c>
      <x:c r="P91" s="9" t="n">
        <x:f>P90+M91-(O91-N91)*'参数'!$D$61</x:f>
        <x:v>0</x:v>
      </x:c>
      <x:c r="Q91" s="9" t="n">
        <x:f>IF(OR(A91=1,A91=31,A91=61),'参数'!$D$70*'参数'!$D$60,0)</x:f>
        <x:v>0</x:v>
      </x:c>
      <x:c r="R91" s="9" t="n">
        <x:f>R90+Q91</x:f>
        <x:v>0</x:v>
      </x:c>
      <x:c r="S91" s="9" t="n">
        <x:f>S90+O91</x:f>
        <x:v>38</x:v>
      </x:c>
      <x:c r="T91" s="9" t="n">
        <x:f>O91*2+IF(MOD(A91,7)=0,'参数'!$D$68,0)+IF(A91=7,'参数'!$D$69,0)</x:f>
        <x:v>0</x:v>
      </x:c>
      <x:c r="U91" s="9" t="n">
        <x:f>IF(A91=90,160,0)</x:f>
        <x:v>0</x:v>
      </x:c>
      <x:c r="V91" s="9" t="n">
        <x:f>IF(W90+T91&gt;=U91,U91,0)</x:f>
        <x:v>0</x:v>
      </x:c>
      <x:c r="W91" s="9" t="n">
        <x:f>W90+T91-V91</x:f>
        <x:v>146</x:v>
      </x:c>
    </x:row>
    <x:row r="92" ht="48" customHeight="1">
      <x:c r="A92" s="10" t="n">
        <x:v>86</x:v>
      </x:c>
      <x:c r="B92" s="10" t="n">
        <x:f>L91</x:f>
        <x:v>5615</x:v>
      </x:c>
      <x:c r="C92" s="10" t="n">
        <x:f>'参数'!$D$7*'参数'!$D$11*'参数'!$D$15</x:f>
        <x:v>720</x:v>
      </x:c>
      <x:c r="D92" s="10" t="n">
        <x:f>'参数'!$D$7*'参数'!$D$19</x:f>
        <x:v>240</x:v>
      </x:c>
      <x:c r="E92" s="10" t="n">
        <x:f>'参数'!$D$23*'参数'!$D$53+IF(MOD(A92,7)=0,'参数'!$D$54,0)</x:f>
        <x:v>40</x:v>
      </x:c>
      <x:c r="F92" s="10" t="n">
        <x:f>(INT(A92*'参数'!$D$35/7)-INT((A92-1)*'参数'!$D$35/7))*IF(A92&lt;=30,'参数'!$D$56,IF(A92&lt;=60,'参数'!$D$57,'参数'!$D$58))+IF(A92=1,60,0)</x:f>
        <x:v>0</x:v>
      </x:c>
      <x:c r="G92" s="10" t="n">
        <x:f>(INT(A92*'参数'!$D$27)-INT((A92-1)*'参数'!$D$27))*'参数'!$D$55</x:f>
        <x:v>35</x:v>
      </x:c>
      <x:c r="H92" s="10" t="n">
        <x:f>'参数'!$D$31</x:f>
        <x:v>10</x:v>
      </x:c>
      <x:c r="I92" s="10" t="n">
        <x:f>(INT(A92*'参数'!$D$39/7)-INT((A92-1)*'参数'!$D$39/7))*'参数'!$D$59</x:f>
        <x:v>0</x:v>
      </x:c>
      <x:c r="J92" s="10" t="n">
        <x:f>IF(A92=30,4000,IF(A92=60,6000,IF(A92=90,9000,IF(MOD(A92,7)=0,'参数'!$D$43,0))))</x:f>
        <x:v>0</x:v>
      </x:c>
      <x:c r="K92" s="10" t="n">
        <x:f>IF(B92+C92-D92+E92-F92-G92-H92-I92-'参数'!$D$52&gt;=J92,J92,0)</x:f>
        <x:v>0</x:v>
      </x:c>
      <x:c r="L92" s="10" t="n">
        <x:f>B92+C92-D92+E92-F92-G92-H92-I92-K92</x:f>
        <x:v>6090</x:v>
      </x:c>
      <x:c r="M92" s="10" t="n">
        <x:f>IF(A92=1,'参数'!$D$64,0)+IF(MOD(A92,7)=0,'参数'!$D$62,0)+IF(MOD(A92,30)=0,'参数'!$D$63,0)</x:f>
        <x:v>0</x:v>
      </x:c>
      <x:c r="N92" s="10" t="n">
        <x:f>IF(OR(A92=1,A92=7),'参数'!$D$65/2,0)+IF(MOD(A92,7)=0,'参数'!$D$66,0)</x:f>
        <x:v>0</x:v>
      </x:c>
      <x:c r="O92" s="10" t="n">
        <x:f>N92+INT((P91+M92)/'参数'!$D$61)</x:f>
        <x:v>0</x:v>
      </x:c>
      <x:c r="P92" s="10" t="n">
        <x:f>P91+M92-(O92-N92)*'参数'!$D$61</x:f>
        <x:v>0</x:v>
      </x:c>
      <x:c r="Q92" s="10" t="n">
        <x:f>IF(OR(A92=1,A92=31,A92=61),'参数'!$D$70*'参数'!$D$60,0)</x:f>
        <x:v>0</x:v>
      </x:c>
      <x:c r="R92" s="10" t="n">
        <x:f>R91+Q92</x:f>
        <x:v>0</x:v>
      </x:c>
      <x:c r="S92" s="10" t="n">
        <x:f>S91+O92</x:f>
        <x:v>38</x:v>
      </x:c>
      <x:c r="T92" s="10" t="n">
        <x:f>O92*2+IF(MOD(A92,7)=0,'参数'!$D$68,0)+IF(A92=7,'参数'!$D$69,0)</x:f>
        <x:v>0</x:v>
      </x:c>
      <x:c r="U92" s="10" t="n">
        <x:f>IF(A92=90,160,0)</x:f>
        <x:v>0</x:v>
      </x:c>
      <x:c r="V92" s="10" t="n">
        <x:f>IF(W91+T92&gt;=U92,U92,0)</x:f>
        <x:v>0</x:v>
      </x:c>
      <x:c r="W92" s="10" t="n">
        <x:f>W91+T92-V92</x:f>
        <x:v>146</x:v>
      </x:c>
    </x:row>
    <x:row r="93" ht="48" customHeight="1">
      <x:c r="A93" s="9" t="n">
        <x:v>87</x:v>
      </x:c>
      <x:c r="B93" s="9" t="n">
        <x:f>L92</x:f>
        <x:v>6090</x:v>
      </x:c>
      <x:c r="C93" s="9" t="n">
        <x:f>'参数'!$D$7*'参数'!$D$11*'参数'!$D$15</x:f>
        <x:v>720</x:v>
      </x:c>
      <x:c r="D93" s="9" t="n">
        <x:f>'参数'!$D$7*'参数'!$D$19</x:f>
        <x:v>240</x:v>
      </x:c>
      <x:c r="E93" s="9" t="n">
        <x:f>'参数'!$D$23*'参数'!$D$53+IF(MOD(A93,7)=0,'参数'!$D$54,0)</x:f>
        <x:v>40</x:v>
      </x:c>
      <x:c r="F93" s="9" t="n">
        <x:f>(INT(A93*'参数'!$D$35/7)-INT((A93-1)*'参数'!$D$35/7))*IF(A93&lt;=30,'参数'!$D$56,IF(A93&lt;=60,'参数'!$D$57,'参数'!$D$58))+IF(A93=1,60,0)</x:f>
        <x:v>500</x:v>
      </x:c>
      <x:c r="G93" s="9" t="n">
        <x:f>(INT(A93*'参数'!$D$27)-INT((A93-1)*'参数'!$D$27))*'参数'!$D$55</x:f>
        <x:v>35</x:v>
      </x:c>
      <x:c r="H93" s="9" t="n">
        <x:f>'参数'!$D$31</x:f>
        <x:v>10</x:v>
      </x:c>
      <x:c r="I93" s="9" t="n">
        <x:f>(INT(A93*'参数'!$D$39/7)-INT((A93-1)*'参数'!$D$39/7))*'参数'!$D$59</x:f>
        <x:v>0</x:v>
      </x:c>
      <x:c r="J93" s="9" t="n">
        <x:f>IF(A93=30,4000,IF(A93=60,6000,IF(A93=90,9000,IF(MOD(A93,7)=0,'参数'!$D$43,0))))</x:f>
        <x:v>0</x:v>
      </x:c>
      <x:c r="K93" s="9" t="n">
        <x:f>IF(B93+C93-D93+E93-F93-G93-H93-I93-'参数'!$D$52&gt;=J93,J93,0)</x:f>
        <x:v>0</x:v>
      </x:c>
      <x:c r="L93" s="9" t="n">
        <x:f>B93+C93-D93+E93-F93-G93-H93-I93-K93</x:f>
        <x:v>6065</x:v>
      </x:c>
      <x:c r="M93" s="9" t="n">
        <x:f>IF(A93=1,'参数'!$D$64,0)+IF(MOD(A93,7)=0,'参数'!$D$62,0)+IF(MOD(A93,30)=0,'参数'!$D$63,0)</x:f>
        <x:v>0</x:v>
      </x:c>
      <x:c r="N93" s="9" t="n">
        <x:f>IF(OR(A93=1,A93=7),'参数'!$D$65/2,0)+IF(MOD(A93,7)=0,'参数'!$D$66,0)</x:f>
        <x:v>0</x:v>
      </x:c>
      <x:c r="O93" s="9" t="n">
        <x:f>N93+INT((P92+M93)/'参数'!$D$61)</x:f>
        <x:v>0</x:v>
      </x:c>
      <x:c r="P93" s="9" t="n">
        <x:f>P92+M93-(O93-N93)*'参数'!$D$61</x:f>
        <x:v>0</x:v>
      </x:c>
      <x:c r="Q93" s="9" t="n">
        <x:f>IF(OR(A93=1,A93=31,A93=61),'参数'!$D$70*'参数'!$D$60,0)</x:f>
        <x:v>0</x:v>
      </x:c>
      <x:c r="R93" s="9" t="n">
        <x:f>R92+Q93</x:f>
        <x:v>0</x:v>
      </x:c>
      <x:c r="S93" s="9" t="n">
        <x:f>S92+O93</x:f>
        <x:v>38</x:v>
      </x:c>
      <x:c r="T93" s="9" t="n">
        <x:f>O93*2+IF(MOD(A93,7)=0,'参数'!$D$68,0)+IF(A93=7,'参数'!$D$69,0)</x:f>
        <x:v>0</x:v>
      </x:c>
      <x:c r="U93" s="9" t="n">
        <x:f>IF(A93=90,160,0)</x:f>
        <x:v>0</x:v>
      </x:c>
      <x:c r="V93" s="9" t="n">
        <x:f>IF(W92+T93&gt;=U93,U93,0)</x:f>
        <x:v>0</x:v>
      </x:c>
      <x:c r="W93" s="9" t="n">
        <x:f>W92+T93-V93</x:f>
        <x:v>146</x:v>
      </x:c>
    </x:row>
    <x:row r="94" ht="48" customHeight="1">
      <x:c r="A94" s="10" t="n">
        <x:v>88</x:v>
      </x:c>
      <x:c r="B94" s="10" t="n">
        <x:f>L93</x:f>
        <x:v>6065</x:v>
      </x:c>
      <x:c r="C94" s="10" t="n">
        <x:f>'参数'!$D$7*'参数'!$D$11*'参数'!$D$15</x:f>
        <x:v>720</x:v>
      </x:c>
      <x:c r="D94" s="10" t="n">
        <x:f>'参数'!$D$7*'参数'!$D$19</x:f>
        <x:v>240</x:v>
      </x:c>
      <x:c r="E94" s="10" t="n">
        <x:f>'参数'!$D$23*'参数'!$D$53+IF(MOD(A94,7)=0,'参数'!$D$54,0)</x:f>
        <x:v>40</x:v>
      </x:c>
      <x:c r="F94" s="10" t="n">
        <x:f>(INT(A94*'参数'!$D$35/7)-INT((A94-1)*'参数'!$D$35/7))*IF(A94&lt;=30,'参数'!$D$56,IF(A94&lt;=60,'参数'!$D$57,'参数'!$D$58))+IF(A94=1,60,0)</x:f>
        <x:v>0</x:v>
      </x:c>
      <x:c r="G94" s="10" t="n">
        <x:f>(INT(A94*'参数'!$D$27)-INT((A94-1)*'参数'!$D$27))*'参数'!$D$55</x:f>
        <x:v>35</x:v>
      </x:c>
      <x:c r="H94" s="10" t="n">
        <x:f>'参数'!$D$31</x:f>
        <x:v>10</x:v>
      </x:c>
      <x:c r="I94" s="10" t="n">
        <x:f>(INT(A94*'参数'!$D$39/7)-INT((A94-1)*'参数'!$D$39/7))*'参数'!$D$59</x:f>
        <x:v>0</x:v>
      </x:c>
      <x:c r="J94" s="10" t="n">
        <x:f>IF(A94=30,4000,IF(A94=60,6000,IF(A94=90,9000,IF(MOD(A94,7)=0,'参数'!$D$43,0))))</x:f>
        <x:v>0</x:v>
      </x:c>
      <x:c r="K94" s="10" t="n">
        <x:f>IF(B94+C94-D94+E94-F94-G94-H94-I94-'参数'!$D$52&gt;=J94,J94,0)</x:f>
        <x:v>0</x:v>
      </x:c>
      <x:c r="L94" s="10" t="n">
        <x:f>B94+C94-D94+E94-F94-G94-H94-I94-K94</x:f>
        <x:v>6540</x:v>
      </x:c>
      <x:c r="M94" s="10" t="n">
        <x:f>IF(A94=1,'参数'!$D$64,0)+IF(MOD(A94,7)=0,'参数'!$D$62,0)+IF(MOD(A94,30)=0,'参数'!$D$63,0)</x:f>
        <x:v>0</x:v>
      </x:c>
      <x:c r="N94" s="10" t="n">
        <x:f>IF(OR(A94=1,A94=7),'参数'!$D$65/2,0)+IF(MOD(A94,7)=0,'参数'!$D$66,0)</x:f>
        <x:v>0</x:v>
      </x:c>
      <x:c r="O94" s="10" t="n">
        <x:f>N94+INT((P93+M94)/'参数'!$D$61)</x:f>
        <x:v>0</x:v>
      </x:c>
      <x:c r="P94" s="10" t="n">
        <x:f>P93+M94-(O94-N94)*'参数'!$D$61</x:f>
        <x:v>0</x:v>
      </x:c>
      <x:c r="Q94" s="10" t="n">
        <x:f>IF(OR(A94=1,A94=31,A94=61),'参数'!$D$70*'参数'!$D$60,0)</x:f>
        <x:v>0</x:v>
      </x:c>
      <x:c r="R94" s="10" t="n">
        <x:f>R93+Q94</x:f>
        <x:v>0</x:v>
      </x:c>
      <x:c r="S94" s="10" t="n">
        <x:f>S93+O94</x:f>
        <x:v>38</x:v>
      </x:c>
      <x:c r="T94" s="10" t="n">
        <x:f>O94*2+IF(MOD(A94,7)=0,'参数'!$D$68,0)+IF(A94=7,'参数'!$D$69,0)</x:f>
        <x:v>0</x:v>
      </x:c>
      <x:c r="U94" s="10" t="n">
        <x:f>IF(A94=90,160,0)</x:f>
        <x:v>0</x:v>
      </x:c>
      <x:c r="V94" s="10" t="n">
        <x:f>IF(W93+T94&gt;=U94,U94,0)</x:f>
        <x:v>0</x:v>
      </x:c>
      <x:c r="W94" s="10" t="n">
        <x:f>W93+T94-V94</x:f>
        <x:v>146</x:v>
      </x:c>
    </x:row>
    <x:row r="95" ht="48" customHeight="1">
      <x:c r="A95" s="9" t="n">
        <x:v>89</x:v>
      </x:c>
      <x:c r="B95" s="9" t="n">
        <x:f>L94</x:f>
        <x:v>6540</x:v>
      </x:c>
      <x:c r="C95" s="9" t="n">
        <x:f>'参数'!$D$7*'参数'!$D$11*'参数'!$D$15</x:f>
        <x:v>720</x:v>
      </x:c>
      <x:c r="D95" s="9" t="n">
        <x:f>'参数'!$D$7*'参数'!$D$19</x:f>
        <x:v>240</x:v>
      </x:c>
      <x:c r="E95" s="9" t="n">
        <x:f>'参数'!$D$23*'参数'!$D$53+IF(MOD(A95,7)=0,'参数'!$D$54,0)</x:f>
        <x:v>40</x:v>
      </x:c>
      <x:c r="F95" s="9" t="n">
        <x:f>(INT(A95*'参数'!$D$35/7)-INT((A95-1)*'参数'!$D$35/7))*IF(A95&lt;=30,'参数'!$D$56,IF(A95&lt;=60,'参数'!$D$57,'参数'!$D$58))+IF(A95=1,60,0)</x:f>
        <x:v>500</x:v>
      </x:c>
      <x:c r="G95" s="9" t="n">
        <x:f>(INT(A95*'参数'!$D$27)-INT((A95-1)*'参数'!$D$27))*'参数'!$D$55</x:f>
        <x:v>35</x:v>
      </x:c>
      <x:c r="H95" s="9" t="n">
        <x:f>'参数'!$D$31</x:f>
        <x:v>10</x:v>
      </x:c>
      <x:c r="I95" s="9" t="n">
        <x:f>(INT(A95*'参数'!$D$39/7)-INT((A95-1)*'参数'!$D$39/7))*'参数'!$D$59</x:f>
        <x:v>0</x:v>
      </x:c>
      <x:c r="J95" s="9" t="n">
        <x:f>IF(A95=30,4000,IF(A95=60,6000,IF(A95=90,9000,IF(MOD(A95,7)=0,'参数'!$D$43,0))))</x:f>
        <x:v>0</x:v>
      </x:c>
      <x:c r="K95" s="9" t="n">
        <x:f>IF(B95+C95-D95+E95-F95-G95-H95-I95-'参数'!$D$52&gt;=J95,J95,0)</x:f>
        <x:v>0</x:v>
      </x:c>
      <x:c r="L95" s="9" t="n">
        <x:f>B95+C95-D95+E95-F95-G95-H95-I95-K95</x:f>
        <x:v>6515</x:v>
      </x:c>
      <x:c r="M95" s="9" t="n">
        <x:f>IF(A95=1,'参数'!$D$64,0)+IF(MOD(A95,7)=0,'参数'!$D$62,0)+IF(MOD(A95,30)=0,'参数'!$D$63,0)</x:f>
        <x:v>0</x:v>
      </x:c>
      <x:c r="N95" s="9" t="n">
        <x:f>IF(OR(A95=1,A95=7),'参数'!$D$65/2,0)+IF(MOD(A95,7)=0,'参数'!$D$66,0)</x:f>
        <x:v>0</x:v>
      </x:c>
      <x:c r="O95" s="9" t="n">
        <x:f>N95+INT((P94+M95)/'参数'!$D$61)</x:f>
        <x:v>0</x:v>
      </x:c>
      <x:c r="P95" s="9" t="n">
        <x:f>P94+M95-(O95-N95)*'参数'!$D$61</x:f>
        <x:v>0</x:v>
      </x:c>
      <x:c r="Q95" s="9" t="n">
        <x:f>IF(OR(A95=1,A95=31,A95=61),'参数'!$D$70*'参数'!$D$60,0)</x:f>
        <x:v>0</x:v>
      </x:c>
      <x:c r="R95" s="9" t="n">
        <x:f>R94+Q95</x:f>
        <x:v>0</x:v>
      </x:c>
      <x:c r="S95" s="9" t="n">
        <x:f>S94+O95</x:f>
        <x:v>38</x:v>
      </x:c>
      <x:c r="T95" s="9" t="n">
        <x:f>O95*2+IF(MOD(A95,7)=0,'参数'!$D$68,0)+IF(A95=7,'参数'!$D$69,0)</x:f>
        <x:v>0</x:v>
      </x:c>
      <x:c r="U95" s="9" t="n">
        <x:f>IF(A95=90,160,0)</x:f>
        <x:v>0</x:v>
      </x:c>
      <x:c r="V95" s="9" t="n">
        <x:f>IF(W94+T95&gt;=U95,U95,0)</x:f>
        <x:v>0</x:v>
      </x:c>
      <x:c r="W95" s="9" t="n">
        <x:f>W94+T95-V95</x:f>
        <x:v>146</x:v>
      </x:c>
    </x:row>
    <x:row r="96" ht="48" customHeight="1">
      <x:c r="A96" s="10" t="n">
        <x:v>90</x:v>
      </x:c>
      <x:c r="B96" s="10" t="n">
        <x:f>L95</x:f>
        <x:v>6515</x:v>
      </x:c>
      <x:c r="C96" s="10" t="n">
        <x:f>'参数'!$D$7*'参数'!$D$11*'参数'!$D$15</x:f>
        <x:v>720</x:v>
      </x:c>
      <x:c r="D96" s="10" t="n">
        <x:f>'参数'!$D$7*'参数'!$D$19</x:f>
        <x:v>240</x:v>
      </x:c>
      <x:c r="E96" s="10" t="n">
        <x:f>'参数'!$D$23*'参数'!$D$53+IF(MOD(A96,7)=0,'参数'!$D$54,0)</x:f>
        <x:v>40</x:v>
      </x:c>
      <x:c r="F96" s="10" t="n">
        <x:f>(INT(A96*'参数'!$D$35/7)-INT((A96-1)*'参数'!$D$35/7))*IF(A96&lt;=30,'参数'!$D$56,IF(A96&lt;=60,'参数'!$D$57,'参数'!$D$58))+IF(A96=1,60,0)</x:f>
        <x:v>0</x:v>
      </x:c>
      <x:c r="G96" s="10" t="n">
        <x:f>(INT(A96*'参数'!$D$27)-INT((A96-1)*'参数'!$D$27))*'参数'!$D$55</x:f>
        <x:v>35</x:v>
      </x:c>
      <x:c r="H96" s="10" t="n">
        <x:f>'参数'!$D$31</x:f>
        <x:v>10</x:v>
      </x:c>
      <x:c r="I96" s="10" t="n">
        <x:f>(INT(A96*'参数'!$D$39/7)-INT((A96-1)*'参数'!$D$39/7))*'参数'!$D$59</x:f>
        <x:v>0</x:v>
      </x:c>
      <x:c r="J96" s="10" t="n">
        <x:f>IF(A96=30,4000,IF(A96=60,6000,IF(A96=90,9000,IF(MOD(A96,7)=0,'参数'!$D$43,0))))</x:f>
        <x:v>9000</x:v>
      </x:c>
      <x:c r="K96" s="10" t="n">
        <x:f>IF(B96+C96-D96+E96-F96-G96-H96-I96-'参数'!$D$52&gt;=J96,J96,0)</x:f>
        <x:v>0</x:v>
      </x:c>
      <x:c r="L96" s="10" t="n">
        <x:f>B96+C96-D96+E96-F96-G96-H96-I96-K96</x:f>
        <x:v>6990</x:v>
      </x:c>
      <x:c r="M96" s="10" t="n">
        <x:f>IF(A96=1,'参数'!$D$64,0)+IF(MOD(A96,7)=0,'参数'!$D$62,0)+IF(MOD(A96,30)=0,'参数'!$D$63,0)</x:f>
        <x:v>60</x:v>
      </x:c>
      <x:c r="N96" s="10" t="n">
        <x:f>IF(OR(A96=1,A96=7),'参数'!$D$65/2,0)+IF(MOD(A96,7)=0,'参数'!$D$66,0)</x:f>
        <x:v>0</x:v>
      </x:c>
      <x:c r="O96" s="10" t="n">
        <x:f>N96+INT((P95+M96)/'参数'!$D$61)</x:f>
        <x:v>1</x:v>
      </x:c>
      <x:c r="P96" s="10" t="n">
        <x:f>P95+M96-(O96-N96)*'参数'!$D$61</x:f>
        <x:v>0</x:v>
      </x:c>
      <x:c r="Q96" s="10" t="n">
        <x:f>IF(OR(A96=1,A96=31,A96=61),'参数'!$D$70*'参数'!$D$60,0)</x:f>
        <x:v>0</x:v>
      </x:c>
      <x:c r="R96" s="10" t="n">
        <x:f>R95+Q96</x:f>
        <x:v>0</x:v>
      </x:c>
      <x:c r="S96" s="10" t="n">
        <x:f>S95+O96</x:f>
        <x:v>39</x:v>
      </x:c>
      <x:c r="T96" s="10" t="n">
        <x:f>O96*2+IF(MOD(A96,7)=0,'参数'!$D$68,0)+IF(A96=7,'参数'!$D$69,0)</x:f>
        <x:v>2</x:v>
      </x:c>
      <x:c r="U96" s="10" t="n">
        <x:f>IF(A96=90,160,0)</x:f>
        <x:v>160</x:v>
      </x:c>
      <x:c r="V96" s="10" t="n">
        <x:f>IF(W95+T96&gt;=U96,U96,0)</x:f>
        <x:v>0</x:v>
      </x:c>
      <x:c r="W96" s="10" t="n">
        <x:f>W95+T96-V96</x:f>
        <x:v>148</x:v>
      </x:c>
    </x:row>
  </x:sheetData>
  <x:conditionalFormatting sqref="L7:L96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a6e9d98977429d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7" hidden="0" customWidth="1"/>
    <x:col min="2" max="2" width="25" hidden="0" customWidth="1"/>
    <x:col min="3" max="3" width="16" hidden="0" customWidth="1"/>
    <x:col min="4" max="4" width="103" hidden="0" customWidth="1"/>
  </x:cols>
  <x:sheetData>
    <x:row r="1">
      <x:c r="A1" s="2"/>
      <x:c r="B1" s="2"/>
      <x:c r="C1" s="2"/>
      <x:c r="D1" s="2"/>
    </x:row>
    <x:row r="2">
      <x:c r="A2" s="3" t="str">
        <x:v>概率与目标</x:v>
      </x:c>
      <x:c r="B2" s="2"/>
      <x:c r="C2" s="2"/>
      <x:c r="D2" s="2"/>
    </x:row>
    <x:row r="3">
      <x:c r="A3" s="4" t="str">
        <x:v>2026-09-29 · 正式版规划草案；不是当前线上规则</x:v>
      </x:c>
      <x:c r="B3" s="2"/>
      <x:c r="C3" s="2"/>
      <x:c r="D3" s="2"/>
    </x:row>
    <x:row r="4">
      <x:c r="A4" s="2"/>
      <x:c r="B4" s="2"/>
      <x:c r="C4" s="2"/>
      <x:c r="D4" s="2"/>
    </x:row>
    <x:row r="5">
      <x:c r="A5" s="2"/>
      <x:c r="B5" s="2"/>
      <x:c r="C5" s="2"/>
      <x:c r="D5" s="2"/>
    </x:row>
    <x:row r="6" ht="34" customHeight="1">
      <x:c r="A6" s="8" t="str">
        <x:v>指标</x:v>
      </x:c>
      <x:c r="B6" s="8" t="str">
        <x:v>结果</x:v>
      </x:c>
      <x:c r="C6" s="8" t="str">
        <x:v>单位</x:v>
      </x:c>
      <x:c r="D6" s="8" t="str">
        <x:v>解释</x:v>
      </x:c>
    </x:row>
    <x:row r="7" ht="48" customHeight="1">
      <x:c r="A7" s="9" t="str">
        <x:v>D30免费珍藏抽数</x:v>
      </x:c>
      <x:c r="B7" s="9" t="n">
        <x:f>'90天收支'!S36</x:f>
        <x:v>21</x:v>
      </x:c>
      <x:c r="C7" s="9" t="str">
        <x:v>抽</x:v>
      </x:c>
      <x:c r="D7" s="9" t="str">
        <x:v>新手券＋周券＋赠晶；未使用充值余额</x:v>
      </x:c>
    </x:row>
    <x:row r="8" ht="48" customHeight="1">
      <x:c r="A8" s="10" t="str">
        <x:v>D60免费珍藏抽数</x:v>
      </x:c>
      <x:c r="B8" s="10" t="n">
        <x:f>'90天收支'!S66</x:f>
        <x:v>30</x:v>
      </x:c>
      <x:c r="C8" s="10" t="str">
        <x:v>抽</x:v>
      </x:c>
      <x:c r="D8" s="10" t="str">
        <x:v>同一玩家档位与投放表</x:v>
      </x:c>
    </x:row>
    <x:row r="9" ht="48" customHeight="1">
      <x:c r="A9" s="9" t="str">
        <x:v>D90免费珍藏抽数</x:v>
      </x:c>
      <x:c r="B9" s="9" t="n">
        <x:f>'90天收支'!S96</x:f>
        <x:v>39</x:v>
      </x:c>
      <x:c r="C9" s="9" t="str">
        <x:v>抽</x:v>
      </x:c>
      <x:c r="D9" s="9" t="str">
        <x:v>同一玩家档位与投放表</x:v>
      </x:c>
    </x:row>
    <x:row r="10" ht="48" customHeight="1">
      <x:c r="A10" s="10" t="str">
        <x:v>D90至少一件SSR概率</x:v>
      </x:c>
      <x:c r="B10" s="24" t="n">
        <x:f>IF(B9&gt;='参数'!$D$76,1,1-(1-'参数'!$D$75)^B9)</x:f>
        <x:v>0.5452036694378053</x:v>
      </x:c>
      <x:c r="C10" s="10" t="str">
        <x:v>比例</x:v>
      </x:c>
      <x:c r="D10" s="10" t="str">
        <x:v>保守下界：仅2%基础率，忽略SR保底抬升；60抽必得</x:v>
      </x:c>
    </x:row>
    <x:row r="11" ht="48" customHeight="1">
      <x:c r="A11" s="9" t="str">
        <x:v>SSR平均等待保守上界</x:v>
      </x:c>
      <x:c r="B11" s="9" t="n">
        <x:f>(1-(1-'参数'!$D$75)^'参数'!$D$76)/'参数'!$D$75</x:f>
        <x:v>35.12234286539398</x:v>
      </x:c>
      <x:c r="C11" s="9" t="str">
        <x:v>抽</x:v>
      </x:c>
      <x:c r="D11" s="9" t="str">
        <x:v>仅2%＋60硬保底；SR保底也可能出SSR，实际等待更短</x:v>
      </x:c>
    </x:row>
    <x:row r="12" ht="48" customHeight="1">
      <x:c r="A12" s="10" t="str">
        <x:v>SSR长期频率保守下界</x:v>
      </x:c>
      <x:c r="B12" s="24" t="n">
        <x:f>1/B11</x:f>
        <x:v>0.028471904731198875</x:v>
      </x:c>
      <x:c r="C12" s="10" t="str">
        <x:v>比例</x:v>
      </x:c>
      <x:c r="D12" s="10" t="str">
        <x:v>1/等待上界；不等于指定单件概率</x:v>
      </x:c>
    </x:row>
    <x:row r="13" ht="48" customHeight="1">
      <x:c r="A13" s="9" t="str">
        <x:v>一次硬保底的购买晶上限</x:v>
      </x:c>
      <x:c r="B13" s="9" t="n">
        <x:f>'参数'!$D$76*'参数'!$D$61</x:f>
        <x:v>3600</x:v>
      </x:c>
      <x:c r="C13" s="9" t="str">
        <x:v>星晶</x:v>
      </x:c>
      <x:c r="D13" s="9" t="str">
        <x:v>纯购买晶预算；实际可用免费券和赠晶</x:v>
      </x:c>
    </x:row>
    <x:row r="14" ht="48" customHeight="1">
      <x:c r="A14" s="10" t="str">
        <x:v>一次硬保底的原价上限</x:v>
      </x:c>
      <x:c r="B14" s="10" t="n">
        <x:f>B13/'参数'!$D$60</x:f>
        <x:v>360</x:v>
      </x:c>
      <x:c r="C14" s="10" t="str">
        <x:v>元</x:v>
      </x:c>
      <x:c r="D14" s="10" t="str">
        <x:v>设计基准兑换率；并非必须消费</x:v>
      </x:c>
    </x:row>
    <x:row r="15" ht="48" customHeight="1">
      <x:c r="A15" s="9" t="str">
        <x:v>D90指定SSR概率基线</x:v>
      </x:c>
      <x:c r="B15" s="25" t="n">
        <x:f>1-(1-'参数'!$D$75/2)^B9</x:f>
        <x:v>0.3242709509397169</x:v>
      </x:c>
      <x:c r="C15" s="9" t="str">
        <x:v>比例</x:v>
      </x:c>
      <x:c r="D15" s="9" t="str">
        <x:v>首发两件SSR；仅基础独立抽样，不计定向兑换</x:v>
      </x:c>
    </x:row>
    <x:row r="16" ht="48" customHeight="1">
      <x:c r="A16" s="10" t="str">
        <x:v>40碎片小件储备档（未上架）</x:v>
      </x:c>
      <x:c r="B16" s="10" t="n">
        <x:f>ROUNDUP(40/'参数'!$D$68,0)</x:f>
        <x:v>8</x:v>
      </x:c>
      <x:c r="C16" s="10" t="str">
        <x:v>周</x:v>
      </x:c>
      <x:c r="D16" s="10" t="str">
        <x:v>40星屑/每周5，未计每抽2和重复</x:v>
      </x:c>
    </x:row>
    <x:row r="17" ht="48" customHeight="1">
      <x:c r="A17" s="9" t="str">
        <x:v>只靠周任务兑换SR外观</x:v>
      </x:c>
      <x:c r="B17" s="9" t="n">
        <x:f>ROUNDUP(80/'参数'!$D$68,0)</x:f>
        <x:v>16</x:v>
      </x:c>
      <x:c r="C17" s="9" t="str">
        <x:v>周</x:v>
      </x:c>
      <x:c r="D17" s="9" t="str">
        <x:v>80星屑/每周5</x:v>
      </x:c>
    </x:row>
    <x:row r="18" ht="48" customHeight="1">
      <x:c r="A18" s="10" t="str">
        <x:v>只靠周任务兑换SSR外观</x:v>
      </x:c>
      <x:c r="B18" s="10" t="n">
        <x:f>ROUNDUP(160/'参数'!$D$68,0)</x:f>
        <x:v>32</x:v>
      </x:c>
      <x:c r="C18" s="10" t="str">
        <x:v>周</x:v>
      </x:c>
      <x:c r="D18" s="10" t="str">
        <x:v>160星屑/每周5</x:v>
      </x:c>
    </x:row>
    <x:row r="19" ht="48" customHeight="1">
      <x:c r="A19" s="9" t="str">
        <x:v>D30金币结余</x:v>
      </x:c>
      <x:c r="B19" s="9" t="n">
        <x:f>'90天收支'!L36</x:f>
        <x:v>4150</x:v>
      </x:c>
      <x:c r="C19" s="9" t="str">
        <x:v>金币</x:v>
      </x:c>
      <x:c r="D19" s="9" t="str">
        <x:v>已扣模型中实际买到家具</x:v>
      </x:c>
    </x:row>
    <x:row r="20" ht="48" customHeight="1">
      <x:c r="A20" s="10" t="str">
        <x:v>D60金币结余</x:v>
      </x:c>
      <x:c r="B20" s="10" t="n">
        <x:f>'90天收支'!L66</x:f>
        <x:v>3480</x:v>
      </x:c>
      <x:c r="C20" s="10" t="str">
        <x:v>金币</x:v>
      </x:c>
      <x:c r="D20" s="10" t="str">
        <x:v>免费基线；不含付费加速后的新增收益</x:v>
      </x:c>
    </x:row>
    <x:row r="21" ht="48" customHeight="1">
      <x:c r="A21" s="9" t="str">
        <x:v>D90金币结余</x:v>
      </x:c>
      <x:c r="B21" s="9" t="n">
        <x:f>'90天收支'!L96</x:f>
        <x:v>6990</x:v>
      </x:c>
      <x:c r="C21" s="9" t="str">
        <x:v>金币</x:v>
      </x:c>
      <x:c r="D21" s="9" t="str">
        <x:v>不含未实现订单／隐含挂机收益</x:v>
      </x:c>
    </x:row>
    <x:row r="22" ht="48" customHeight="1">
      <x:c r="A22" s="10" t="str">
        <x:v>D90家具消费累计</x:v>
      </x:c>
      <x:c r="B22" s="10" t="n">
        <x:f>SUM('90天收支'!K7:K96)</x:f>
        <x:v>20800</x:v>
      </x:c>
      <x:c r="C22" s="10" t="str">
        <x:v>金币</x:v>
      </x:c>
      <x:c r="D22" s="10" t="str">
        <x:v>只计已完整支付的计划项</x:v>
      </x:c>
    </x:row>
    <x:row r="23" ht="48" customHeight="1">
      <x:c r="A23" s="9" t="str">
        <x:v>D90未买到的计划家具项</x:v>
      </x:c>
      <x:c r="B23" s="9" t="n">
        <x:f>COUNTIFS('90天收支'!J7:J96,"&gt;0",'90天收支'!K7:K96,0)</x:f>
        <x:v>1</x:v>
      </x:c>
      <x:c r="C23" s="9" t="str">
        <x:v>项</x:v>
      </x:c>
      <x:c r="D23" s="9" t="str">
        <x:v>资金不足会推迟，不声称全部完成</x:v>
      </x:c>
    </x:row>
    <x:row r="24" ht="48" customHeight="1">
      <x:c r="A24" s="10" t="str">
        <x:v>四指定因子单次继承</x:v>
      </x:c>
      <x:c r="B24" s="24" t="n">
        <x:v>0.00390625</x:v>
      </x:c>
      <x:c r="C24" s="10" t="str">
        <x:v>比例</x:v>
      </x:c>
      <x:c r="D24" s="10" t="str">
        <x:v>双方四槽均不同，浓缩油各槽50%继承后各50%选定因子；不计后续变异</x:v>
      </x:c>
    </x:row>
    <x:row r="25" ht="48" customHeight="1">
      <x:c r="A25" s="9" t="str">
        <x:v>金色繁育门槛</x:v>
      </x:c>
      <x:c r="B25" s="9" t="str">
        <x:v>保留</x:v>
      </x:c>
      <x:c r="C25" s="9" t="str">
        <x:v>规则</x:v>
      </x:c>
      <x:c r="D25" s="9" t="str">
        <x:v>新手送合格亲本；付费不买确定继承</x:v>
      </x:c>
    </x:row>
    <x:row r="26" ht="48" customHeight="1">
      <x:c r="A26" s="10" t="str">
        <x:v>模型生成最低售价</x:v>
      </x:c>
      <x:c r="B26" s="10" t="str">
        <x:v>待成本实测</x:v>
      </x:c>
      <x:c r="C26" s="10" t="str">
        <x:v>状态</x:v>
      </x:c>
      <x:c r="D26" s="10" t="str">
        <x:v>真实供应商账单缺失，不能虚报利润</x:v>
      </x:c>
    </x:row>
  </x:sheetData>
  <x:pageMargins left="0.7" right="0.7" top="0.75" bottom="0.75" header="0.3" footer="0.3"/>
  <x:tableParts count="1">
    <x:tablePart xmlns:r="http://schemas.openxmlformats.org/officeDocument/2006/relationships" r:id="R353d49501a604781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76" hidden="0" customWidth="1"/>
    <x:col min="8" max="8" width="82" hidden="0" customWidth="1"/>
    <x:col min="9" max="9" width="24" hidden="0" customWidth="1"/>
    <x:col min="10" max="10" width="8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版本投放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8" t="str">
        <x:v>版本</x:v>
      </x:c>
      <x:c r="B6" s="8" t="str">
        <x:v>阶段</x:v>
      </x:c>
      <x:c r="C6" s="8" t="str">
        <x:v>时机</x:v>
      </x:c>
      <x:c r="D6" s="8" t="str">
        <x:v>新增地区</x:v>
      </x:c>
      <x:c r="E6" s="8" t="str">
        <x:v>新增家具</x:v>
      </x:c>
      <x:c r="F6" s="8" t="str">
        <x:v>新增外观</x:v>
      </x:c>
      <x:c r="G6" s="8" t="str">
        <x:v>内容</x:v>
      </x:c>
      <x:c r="H6" s="8" t="str">
        <x:v>上线门槛</x:v>
      </x:c>
      <x:c r="I6" s="8" t="str">
        <x:v>责任领域</x:v>
      </x:c>
      <x:c r="J6" s="8" t="str">
        <x:v>说明</x:v>
      </x:c>
    </x:row>
    <x:row r="7" ht="48" customHeight="1">
      <x:c r="A7" s="9" t="str">
        <x:v>P0</x:v>
      </x:c>
      <x:c r="B7" s="9" t="str">
        <x:v>测试收敛</x:v>
      </x:c>
      <x:c r="C7" s="9" t="str">
        <x:v>先完成基础</x:v>
      </x:c>
      <x:c r="D7" s="9" t="n">
        <x:v>0</x:v>
      </x:c>
      <x:c r="E7" s="9" t="n">
        <x:v>0</x:v>
      </x:c>
      <x:c r="F7" s="9" t="n">
        <x:v>0</x:v>
      </x:c>
      <x:c r="G7" s="9" t="str">
        <x:v>货币双子账、配置ID、物品目录、展示预览</x:v>
      </x:c>
      <x:c r="H7" s="9" t="str">
        <x:v>修正测试与正式规则边界；不开放支付</x:v>
      </x:c>
      <x:c r="I7" s="9" t="str">
        <x:v>技术/数值</x:v>
      </x:c>
      <x:c r="J7" s="9" t="str">
        <x:v>阶段门，不承诺日历工期</x:v>
      </x:c>
    </x:row>
    <x:row r="8" ht="48" customHeight="1">
      <x:c r="A8" s="10" t="str">
        <x:v>P1</x:v>
      </x:c>
      <x:c r="B8" s="10" t="str">
        <x:v>首发内容</x:v>
      </x:c>
      <x:c r="C8" s="10" t="str">
        <x:v>首发前</x:v>
      </x:c>
      <x:c r="D8" s="10" t="n">
        <x:v>12</x:v>
      </x:c>
      <x:c r="E8" s="10" t="n">
        <x:v>96</x:v>
      </x:c>
      <x:c r="F8" s="10" t="n">
        <x:v>6</x:v>
      </x:c>
      <x:c r="G8" s="10" t="str">
        <x:v>地区/家具为范围目标；外观首发仅6件，付费抽取3件</x:v>
      </x:c>
      <x:c r="H8" s="10" t="str">
        <x:v>全部成长免费；配置与对应素材齐全才上线</x:v>
      </x:c>
      <x:c r="I8" s="10" t="str">
        <x:v>内容/美术/程序</x:v>
      </x:c>
      <x:c r="J8" s="10" t="str">
        <x:v>免费3件＋SR脚印1件＋SSR大奖2件；按产能拆批</x:v>
      </x:c>
    </x:row>
    <x:row r="9" ht="48" customHeight="1">
      <x:c r="A9" s="9" t="str">
        <x:v>P2</x:v>
      </x:c>
      <x:c r="B9" s="9" t="str">
        <x:v>正式收费</x:v>
      </x:c>
      <x:c r="C9" s="9" t="str">
        <x:v>账本验收后</x:v>
      </x:c>
      <x:c r="D9" s="9" t="n">
        <x:v>0</x:v>
      </x:c>
      <x:c r="E9" s="9" t="n">
        <x:v>0</x:v>
      </x:c>
      <x:c r="F9" s="9" t="n">
        <x:v>0</x:v>
      </x:c>
      <x:c r="G9" s="9" t="str">
        <x:v>充值、直购、常驻珍藏、动作预扣退款</x:v>
      </x:c>
      <x:c r="H9" s="9" t="str">
        <x:v>生成价格先录入真实成本；无成本不售卖</x:v>
      </x:c>
      <x:c r="I9" s="9" t="str">
        <x:v>服务端/支付/QA</x:v>
      </x:c>
      <x:c r="J9" s="9" t="str">
        <x:v>当前云端生成仍为unlimited测试</x:v>
      </x:c>
    </x:row>
    <x:row r="10" ht="48" customHeight="1">
      <x:c r="A10" s="10" t="str">
        <x:v>M2</x:v>
      </x:c>
      <x:c r="B10" s="10" t="str">
        <x:v>第一批扩充</x:v>
      </x:c>
      <x:c r="C10" s="10" t="str">
        <x:v>首发后第2月</x:v>
      </x:c>
      <x:c r="D10" s="10" t="n">
        <x:v>4</x:v>
      </x:c>
      <x:c r="E10" s="10" t="n">
        <x:v>16</x:v>
      </x:c>
      <x:c r="F10" s="10" t="n">
        <x:v>4</x:v>
      </x:c>
      <x:c r="G10" s="10" t="str">
        <x:v>新增地区植物8种；2家具套；4件外观</x:v>
      </x:c>
      <x:c r="H10" s="10" t="str">
        <x:v>不重置常驻保底，旧付费物永久可买</x:v>
      </x:c>
      <x:c r="I10" s="10" t="str">
        <x:v>内容/美术</x:v>
      </x:c>
      <x:c r="J10" s="10" t="str">
        <x:v>实际发布日期由产能验收决定</x:v>
      </x:c>
    </x:row>
    <x:row r="11" ht="48" customHeight="1">
      <x:c r="A11" s="9" t="str">
        <x:v>M3</x:v>
      </x:c>
      <x:c r="B11" s="9" t="str">
        <x:v>第二批扩充</x:v>
      </x:c>
      <x:c r="C11" s="9" t="str">
        <x:v>首发后第3月</x:v>
      </x:c>
      <x:c r="D11" s="9" t="n">
        <x:v>4</x:v>
      </x:c>
      <x:c r="E11" s="9" t="n">
        <x:v>16</x:v>
      </x:c>
      <x:c r="F11" s="9" t="n">
        <x:v>3</x:v>
      </x:c>
      <x:c r="G11" s="9" t="str">
        <x:v>新增地区植物8种；2家具套；3件外观</x:v>
      </x:c>
      <x:c r="H11" s="9" t="str">
        <x:v>新增见闻荣誉路径，不扩产能槽</x:v>
      </x:c>
      <x:c r="I11" s="9" t="str">
        <x:v>内容/美术</x:v>
      </x:c>
      <x:c r="J11" s="9" t="str">
        <x:v>每期1—2件大奖即可，低档材料配置复用</x:v>
      </x:c>
    </x:row>
    <x:row r="12" ht="48" customHeight="1">
      <x:c r="A12" s="10" t="str">
        <x:v>M4</x:v>
      </x:c>
      <x:c r="B12" s="10" t="str">
        <x:v>储备扩充</x:v>
      </x:c>
      <x:c r="C12" s="10" t="str">
        <x:v>首发后第4月</x:v>
      </x:c>
      <x:c r="D12" s="10" t="n">
        <x:v>4</x:v>
      </x:c>
      <x:c r="E12" s="10" t="n">
        <x:v>16</x:v>
      </x:c>
      <x:c r="F12" s="10" t="n">
        <x:v>3</x:v>
      </x:c>
      <x:c r="G12" s="10" t="str">
        <x:v>新增地区植物8种；2家具套；3件外观</x:v>
      </x:c>
      <x:c r="H12" s="10" t="str">
        <x:v>补充长期展示与好友合影主题</x:v>
      </x:c>
      <x:c r="I12" s="10" t="str">
        <x:v>内容/美术</x:v>
      </x:c>
      <x:c r="J12" s="10" t="str">
        <x:v>总储备24地区/48植物/144家具/16外观</x:v>
      </x:c>
    </x:row>
  </x:sheetData>
  <x:pageMargins left="0.7" right="0.7" top="0.75" bottom="0.75" header="0.3" footer="0.3"/>
  <x:tableParts count="1">
    <x:tablePart xmlns:r="http://schemas.openxmlformats.org/officeDocument/2006/relationships" r:id="R6ca22b7638564dbe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32" hidden="0" customWidth="1"/>
    <x:col min="3" max="3" width="20" hidden="0" customWidth="1"/>
    <x:col min="4" max="4" width="15" hidden="0" customWidth="1"/>
    <x:col min="5" max="5" width="89" hidden="0" customWidth="1"/>
    <x:col min="6" max="6" width="95" hidden="0" customWidth="1"/>
    <x:col min="7" max="7" width="79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加速与活动</x:v>
      </x:c>
      <x:c r="B2" s="2"/>
      <x:c r="C2" s="2"/>
      <x:c r="D2" s="2"/>
      <x:c r="E2" s="2"/>
      <x:c r="F2" s="2"/>
      <x:c r="G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4" customHeight="1">
      <x:c r="A6" s="8" t="str">
        <x:v>规则</x:v>
      </x:c>
      <x:c r="B6" s="8" t="str">
        <x:v>对象</x:v>
      </x:c>
      <x:c r="C6" s="8" t="str">
        <x:v>数值/结果</x:v>
      </x:c>
      <x:c r="D6" s="8" t="str">
        <x:v>分钟</x:v>
      </x:c>
      <x:c r="E6" s="8" t="str">
        <x:v>具体计算与用途</x:v>
      </x:c>
      <x:c r="F6" s="8" t="str">
        <x:v>限制与免费路径</x:v>
      </x:c>
      <x:c r="G6" s="8" t="str">
        <x:v>体验目的</x:v>
      </x:c>
    </x:row>
    <x:row r="7" ht="48" customHeight="1">
      <x:c r="A7" s="9" t="str">
        <x:v>旅行加速</x:v>
      </x:c>
      <x:c r="B7" s="9" t="str">
        <x:v>1小时旅行券</x:v>
      </x:c>
      <x:c r="C7" s="9" t="n">
        <x:v>10</x:v>
      </x:c>
      <x:c r="D7" s="9" t="n">
        <x:v>60</x:v>
      </x:c>
      <x:c r="E7" s="9" t="str">
        <x:v>每券扣60分钟，按当前剩余时间向下消耗，溢出须确认</x:v>
      </x:c>
      <x:c r="F7" s="9" t="str">
        <x:v>每次最多减原时长75%；仍付金币；同行不翻倍</x:v>
      </x:c>
      <x:c r="G7" s="9" t="str">
        <x:v>想赶上集合或活动；时间价值可直接感知</x:v>
      </x:c>
    </x:row>
    <x:row r="8" ht="48" customHeight="1">
      <x:c r="A8" s="10" t="str">
        <x:v>植物加速</x:v>
      </x:c>
      <x:c r="B8" s="10" t="str">
        <x:v>30分钟加速肥</x:v>
      </x:c>
      <x:c r="C8" s="10" t="n">
        <x:v>5</x:v>
      </x:c>
      <x:c r="D8" s="10" t="n">
        <x:v>30</x:v>
      </x:c>
      <x:c r="E8" s="10" t="str">
        <x:v>累积减原成熟时间至多75%；教程专肥例外</x:v>
      </x:c>
      <x:c r="F8" s="10" t="str">
        <x:v>肥料不增加指定因子概率；金色亲本门槛保留</x:v>
      </x:c>
      <x:c r="G8" s="10" t="str">
        <x:v>提前收成、腾出种植空间；不买必成子代</x:v>
      </x:c>
    </x:row>
    <x:row r="9" ht="48" customHeight="1">
      <x:c r="A9" s="9" t="str">
        <x:v>高阶肥</x:v>
      </x:c>
      <x:c r="B9" s="9" t="str">
        <x:v>3小时加速肥</x:v>
      </x:c>
      <x:c r="C9" s="9" t="n">
        <x:v>25</x:v>
      </x:c>
      <x:c r="D9" s="9" t="n">
        <x:v>180</x:v>
      </x:c>
      <x:c r="E9" s="9" t="str">
        <x:v>对长作物有用；短作物显示浪费量</x:v>
      </x:c>
      <x:c r="F9" s="9" t="str">
        <x:v>与初级肥共用每株75%上限</x:v>
      </x:c>
      <x:c r="G9" s="9" t="str">
        <x:v>大奖没出，材料仍能推进目标</x:v>
      </x:c>
    </x:row>
    <x:row r="10" ht="48" customHeight="1">
      <x:c r="A10" s="10" t="str">
        <x:v>精油</x:v>
      </x:c>
      <x:c r="B10" s="10" t="str">
        <x:v>普通精油</x:v>
      </x:c>
      <x:c r="C10" s="10" t="n">
        <x:v>8</x:v>
      </x:c>
      <x:c r="D10" s="10" t="n">
        <x:v>0</x:v>
      </x:c>
      <x:c r="E10" s="10" t="str">
        <x:v>金币35也能买；消费按现有繁育结算</x:v>
      </x:c>
      <x:c r="F10" s="10" t="str">
        <x:v>浓缩油继续提高概率/保底，不自选保留因子</x:v>
      </x:c>
      <x:c r="G10" s="10" t="str">
        <x:v>付费增加尝试频率，不直接结算完美后代</x:v>
      </x:c>
    </x:row>
    <x:row r="11" ht="48" customHeight="1">
      <x:c r="A11" s="9" t="str">
        <x:v>周转金币</x:v>
      </x:c>
      <x:c r="B11" s="9" t="str">
        <x:v>200金币包</x:v>
      </x:c>
      <x:c r="C11" s="9" t="n">
        <x:v>20</x:v>
      </x:c>
      <x:c r="D11" s="9" t="n">
        <x:v>0</x:v>
      </x:c>
      <x:c r="E11" s="9" t="str">
        <x:v>每日3包；赠送星晶可买；不得逆兑</x:v>
      </x:c>
      <x:c r="F11" s="9" t="str">
        <x:v>可支付旅行和种苗；免费基础来源不削弱</x:v>
      </x:c>
      <x:c r="G11" s="9" t="str">
        <x:v>缺一点即可出发时提供可理解的补足</x:v>
      </x:c>
    </x:row>
    <x:row r="12" ht="48" customHeight="1">
      <x:c r="A12" s="10" t="str">
        <x:v>活动周期</x:v>
      </x:c>
      <x:c r="B12" s="10" t="str">
        <x:v>花园远行节</x:v>
      </x:c>
      <x:c r="C12" s="10" t="n">
        <x:v>14</x:v>
      </x:c>
      <x:c r="D12" s="10" t="n">
        <x:v>0</x:v>
      </x:c>
      <x:c r="E12" s="10" t="str">
        <x:v>总14日；完成新手即可进入，无金色/远方地区门槛</x:v>
      </x:c>
      <x:c r="F12" s="10" t="str">
        <x:v>参与与拿满奖励分离；本表不把抽奖结果当活动分数</x:v>
      </x:c>
      <x:c r="G12" s="10" t="str">
        <x:v>晚加入也能体验，不必先买资格</x:v>
      </x:c>
    </x:row>
    <x:row r="13" ht="48" customHeight="1">
      <x:c r="A13" s="9" t="str">
        <x:v>活动目标</x:v>
      </x:c>
      <x:c r="B13" s="9" t="str">
        <x:v>基础纪念家具（F_01_1）</x:v>
      </x:c>
      <x:c r="C13" s="9" t="n">
        <x:v>120</x:v>
      </x:c>
      <x:c r="D13" s="9" t="n">
        <x:v>0</x:v>
      </x:c>
      <x:c r="E13" s="9" t="str">
        <x:v>1收获=1分；普通旅行=10分；每日照料=5分</x:v>
      </x:c>
      <x:c r="F13" s="9" t="str">
        <x:v>每天免费20分基础委托；账号活动分每日上限80</x:v>
      </x:c>
      <x:c r="G13" s="9" t="str">
        <x:v>付费加速完成目标，但不出售专属通关资格</x:v>
      </x:c>
    </x:row>
    <x:row r="14" ht="48" customHeight="1">
      <x:c r="A14" s="10" t="str">
        <x:v>晚入场</x:v>
      </x:c>
      <x:c r="B14" s="10" t="str">
        <x:v>最后3天加入样例</x:v>
      </x:c>
      <x:c r="C14" s="10" t="n">
        <x:v>3</x:v>
      </x:c>
      <x:c r="D14" s="10" t="n">
        <x:v>0</x:v>
      </x:c>
      <x:c r="E14" s="10" t="str">
        <x:v>每天8收获＋1次旅行＋照料5＋免费委托20=43分</x:v>
      </x:c>
      <x:c r="F14" s="10" t="str">
        <x:v>三天129分可拿120基础奖励；每次2小时旅行可免费等</x:v>
      </x:c>
      <x:c r="G14" s="10" t="str">
        <x:v>免费晚入场仍可赶上；付费可省等待</x:v>
      </x:c>
    </x:row>
    <x:row r="15" ht="48" customHeight="1">
      <x:c r="A15" s="9" t="str">
        <x:v>付费追赶</x:v>
      </x:c>
      <x:c r="B15" s="9" t="str">
        <x:v>2小时旅行加速1小时</x:v>
      </x:c>
      <x:c r="C15" s="9" t="n">
        <x:v>10</x:v>
      </x:c>
      <x:c r="D15" s="9" t="n">
        <x:v>60</x:v>
      </x:c>
      <x:c r="E15" s="9" t="str">
        <x:v>由120分钟降至60分钟；每次仍付160金币</x:v>
      </x:c>
      <x:c r="F15" s="9" t="str">
        <x:v>只省时间，不凭支付额额外计分；抽到券也能用</x:v>
      </x:c>
      <x:c r="G15" s="9" t="str">
        <x:v>临时只有一小时在线可更快完成旅行目标</x:v>
      </x:c>
    </x:row>
    <x:row r="16" ht="48" customHeight="1">
      <x:c r="A16" s="10" t="str">
        <x:v>碎片规则</x:v>
      </x:c>
      <x:c r="B16" s="10" t="str">
        <x:v>每抽基础星屑</x:v>
      </x:c>
      <x:c r="C16" s="10" t="n">
        <x:v>2</x:v>
      </x:c>
      <x:c r="D16" s="10" t="n">
        <x:v>0</x:v>
      </x:c>
      <x:c r="E16" s="10" t="str">
        <x:v>不论是否抽到外观都发；重复再补；到账显示进度</x:v>
      </x:c>
      <x:c r="F16" s="10" t="str">
        <x:v>账号永久共用；兑换不重置保底；活动下架仍可兑</x:v>
      </x:c>
      <x:c r="G16" s="10" t="str">
        <x:v>差多少到目标始终可见</x:v>
      </x:c>
    </x:row>
    <x:row r="17" ht="48" customHeight="1">
      <x:c r="A17" s="9" t="str">
        <x:v>兑换SR</x:v>
      </x:c>
      <x:c r="B17" s="9" t="str">
        <x:v>步生花</x:v>
      </x:c>
      <x:c r="C17" s="9" t="n">
        <x:v>80</x:v>
      </x:c>
      <x:c r="D17" s="9" t="n">
        <x:v>0</x:v>
      </x:c>
      <x:c r="E17" s="9" t="str">
        <x:v>80星屑兑换；不要求先抽到；每账号解锁一次</x:v>
      </x:c>
      <x:c r="F17" s="9" t="str">
        <x:v>40抽纯基础碎片必可兑换；周任务可缩短</x:v>
      </x:c>
      <x:c r="G17" s="9" t="str">
        <x:v>确保中期可见目标</x:v>
      </x:c>
    </x:row>
    <x:row r="18" ht="48" customHeight="1">
      <x:c r="A18" s="10" t="str">
        <x:v>兑换SSR</x:v>
      </x:c>
      <x:c r="B18" s="10" t="str">
        <x:v>任一大奖</x:v>
      </x:c>
      <x:c r="C18" s="10" t="n">
        <x:v>160</x:v>
      </x:c>
      <x:c r="D18" s="10" t="n">
        <x:v>0</x:v>
      </x:c>
      <x:c r="E18" s="10" t="str">
        <x:v>160星屑指定月蚀来访或苍蓝幽焰</x:v>
      </x:c>
      <x:c r="F18" s="10" t="str">
        <x:v>80抽纯基础碎片可定向；60抽保底随机SSR</x:v>
      </x:c>
      <x:c r="G18" s="10" t="str">
        <x:v>随机惊喜＋明确终点并存</x:v>
      </x:c>
    </x:row>
    <x:row r="19" ht="48" customHeight="1">
      <x:c r="A19" s="9" t="str">
        <x:v>免费碎片目标</x:v>
      </x:c>
      <x:c r="B19" s="9" t="str">
        <x:v>D90攒指定SSR</x:v>
      </x:c>
      <x:c r="C19" s="9" t="n">
        <x:f>SUM('90天收支'!T7:T96)</x:f>
        <x:v>148</x:v>
      </x:c>
      <x:c r="D19" s="9" t="n">
        <x:v>0</x:v>
      </x:c>
      <x:c r="E19" s="9" t="str">
        <x:v>本模型不提前花碎片，按免费抽数＋周奖＋新手计算</x:v>
      </x:c>
      <x:c r="F19" s="9" t="str">
        <x:v>结果小于160就继续累积，不宣称已兑换</x:v>
      </x:c>
      <x:c r="G19" s="9" t="str">
        <x:v>另有随机抽中机会；不预测重复碎片</x:v>
      </x:c>
    </x:row>
    <x:row r="20" ht="48" customHeight="1">
      <x:c r="A20" s="10" t="str">
        <x:v>免费差额</x:v>
      </x:c>
      <x:c r="B20" s="10" t="str">
        <x:v>D90距指定SSR碎片</x:v>
      </x:c>
      <x:c r="C20" s="10" t="n">
        <x:f>MAX(0,160-C19)</x:f>
        <x:v>12</x:v>
      </x:c>
      <x:c r="D20" s="10" t="n">
        <x:v>0</x:v>
      </x:c>
      <x:c r="E20" s="10" t="str">
        <x:v>在下方公式计算；可用周委托或抽取补足</x:v>
      </x:c>
      <x:c r="F20" s="10" t="str">
        <x:v>最坏补抽数按每抽2计</x:v>
      </x:c>
      <x:c r="G20" s="10" t="str">
        <x:v>明确展示继续免费攒多久或需补几抽</x:v>
      </x:c>
    </x:row>
    <x:row r="21" ht="48" customHeight="1">
      <x:c r="A21" s="9" t="str">
        <x:v>补抽上限</x:v>
      </x:c>
      <x:c r="B21" s="9" t="str">
        <x:v>D90指定SSR额外抽数</x:v>
      </x:c>
      <x:c r="C21" s="9" t="n">
        <x:f>ROUNDUP(C20/2,0)</x:f>
        <x:v>6</x:v>
      </x:c>
      <x:c r="D21" s="9" t="n">
        <x:v>0</x:v>
      </x:c>
      <x:c r="E21" s="9" t="str">
        <x:v>只按基础碎片，不计算抽中和重复收益</x:v>
      </x:c>
      <x:c r="F21" s="9" t="str">
        <x:v>先使用剩余免费券或赠晶，再由玩家决定消费</x:v>
      </x:c>
      <x:c r="G21" s="9" t="str">
        <x:v>不因连续未中提高价格</x:v>
      </x:c>
    </x:row>
    <x:row r="22" ht="48" customHeight="1">
      <x:c r="A22" s="10" t="str">
        <x:v>补抽原价</x:v>
      </x:c>
      <x:c r="B22" s="10" t="str">
        <x:v>D90差额折算人民币</x:v>
      </x:c>
      <x:c r="C22" s="10" t="n">
        <x:f>C21*'参数'!$D$61/'参数'!$D$60</x:f>
        <x:v>36</x:v>
      </x:c>
      <x:c r="D22" s="10" t="n">
        <x:v>0</x:v>
      </x:c>
      <x:c r="E22" s="10" t="str">
        <x:v>单抽60星晶，每元10；非强制消费</x:v>
      </x:c>
      <x:c r="F22" s="10" t="str">
        <x:v>不含免费后续投放或充值赠送</x:v>
      </x:c>
      <x:c r="G22" s="10" t="str">
        <x:v>付费节省的是时间，不是唯一获取权</x:v>
      </x:c>
    </x:row>
  </x:sheetData>
  <x:pageMargins left="0.7" right="0.7" top="0.75" bottom="0.75" header="0.3" footer="0.3"/>
  <x:tableParts count="1">
    <x:tablePart xmlns:r="http://schemas.openxmlformats.org/officeDocument/2006/relationships" r:id="R94a6ee8b2c9e48b0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9" hidden="0" customWidth="1"/>
    <x:col min="3" max="3" width="18" hidden="0" customWidth="1"/>
    <x:col min="4" max="4" width="24" hidden="0" customWidth="1"/>
    <x:col min="5" max="5" width="24" hidden="0" customWidth="1"/>
    <x:col min="6" max="6" width="109" hidden="0" customWidth="1"/>
    <x:col min="7" max="7" width="10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天气与繁育</x:v>
      </x:c>
      <x:c r="B2" s="2"/>
      <x:c r="C2" s="2"/>
      <x:c r="D2" s="2"/>
      <x:c r="E2" s="2"/>
      <x:c r="F2" s="2"/>
      <x:c r="G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4" customHeight="1">
      <x:c r="A6" s="8" t="str">
        <x:v>系统</x:v>
      </x:c>
      <x:c r="B6" s="8" t="str">
        <x:v>参数</x:v>
      </x:c>
      <x:c r="C6" s="8" t="str">
        <x:v>值</x:v>
      </x:c>
      <x:c r="D6" s="8" t="str">
        <x:v>单位</x:v>
      </x:c>
      <x:c r="E6" s="8" t="str">
        <x:v>性质</x:v>
      </x:c>
      <x:c r="F6" s="8" t="str">
        <x:v>具体规则</x:v>
      </x:c>
      <x:c r="G6" s="8" t="str">
        <x:v>商业化/实现边界</x:v>
      </x:c>
    </x:row>
    <x:row r="7" ht="48" customHeight="1">
      <x:c r="A7" s="9" t="str">
        <x:v>普通精油</x:v>
      </x:c>
      <x:c r="B7" s="9" t="str">
        <x:v>金币价</x:v>
      </x:c>
      <x:c r="C7" s="9" t="n">
        <x:v>35</x:v>
      </x:c>
      <x:c r="D7" s="9" t="str">
        <x:v>金币</x:v>
      </x:c>
      <x:c r="E7" s="9" t="str">
        <x:v>现有规则</x:v>
      </x:c>
      <x:c r="F7" s="9" t="str">
        <x:v>单方25%、双方30%、最多3因子；连续空继承第10次随机补1</x:v>
      </x:c>
      <x:c r="G7" s="9" t="str">
        <x:v>金币可买，付费只是更多尝试；不指定因子</x:v>
      </x:c>
    </x:row>
    <x:row r="8" ht="48" customHeight="1">
      <x:c r="A8" s="10" t="str">
        <x:v>浓缩精油</x:v>
      </x:c>
      <x:c r="B8" s="10" t="str">
        <x:v>金币价</x:v>
      </x:c>
      <x:c r="C8" s="10" t="n">
        <x:v>80</x:v>
      </x:c>
      <x:c r="D8" s="10" t="str">
        <x:v>金币</x:v>
      </x:c>
      <x:c r="E8" s="10" t="str">
        <x:v>现有规则</x:v>
      </x:c>
      <x:c r="F8" s="10" t="str">
        <x:v>单方40%、双方50%、最多4因子；连续空继承第5次随机补1</x:v>
      </x:c>
      <x:c r="G8" s="10" t="str">
        <x:v>体型继承30%；普通20%；体型独立失败计数</x:v>
      </x:c>
    </x:row>
    <x:row r="9" ht="48" customHeight="1">
      <x:c r="A9" s="9" t="str">
        <x:v>繁育资格</x:v>
      </x:c>
      <x:c r="B9" s="9" t="str">
        <x:v>每周上限</x:v>
      </x:c>
      <x:c r="C9" s="9" t="n">
        <x:v>90</x:v>
      </x:c>
      <x:c r="D9" s="9" t="str">
        <x:v>次</x:v>
      </x:c>
      <x:c r="E9" s="9" t="str">
        <x:v>现有规则</x:v>
      </x:c>
      <x:c r="F9" s="9" t="str">
        <x:v>双方均已揭晓、未繁育过、金色以上；每次1瓶油</x:v>
      </x:c>
      <x:c r="G9" s="9" t="str">
        <x:v>保留金色门槛；教程直接送合格亲本和专肥</x:v>
      </x:c>
    </x:row>
    <x:row r="10" ht="48" customHeight="1">
      <x:c r="A10" s="10" t="str">
        <x:v>继承规则</x:v>
      </x:c>
      <x:c r="B10" s="10" t="str">
        <x:v>双亲同槽选择</x:v>
      </x:c>
      <x:c r="C10" s="10" t="n">
        <x:v>0.5</x:v>
      </x:c>
      <x:c r="D10" s="10" t="str">
        <x:v>概率</x:v>
      </x:c>
      <x:c r="E10" s="10" t="str">
        <x:v>现有规则</x:v>
      </x:c>
      <x:c r="F10" s="10" t="str">
        <x:v>先判槽位继承，再在双方该槽等概率选择；冲突自动裁决</x:v>
      </x:c>
      <x:c r="G10" s="10" t="str">
        <x:v>精油提高概率与保底；不能自选保留</x:v>
      </x:c>
    </x:row>
    <x:row r="11" ht="48" customHeight="1">
      <x:c r="A11" s="9" t="str">
        <x:v>天气刷新</x:v>
      </x:c>
      <x:c r="B11" s="9" t="str">
        <x:v>时段</x:v>
      </x:c>
      <x:c r="C11" s="9" t="n">
        <x:v>30</x:v>
      </x:c>
      <x:c r="D11" s="9" t="str">
        <x:v>分钟</x:v>
      </x:c>
      <x:c r="E11" s="9" t="str">
        <x:v>代码实际</x:v>
      </x:c>
      <x:c r="F11" s="9" t="str">
        <x:v>个人天气按时段确定；不因刷新客户端重抽</x:v>
      </x:c>
      <x:c r="G11" s="9" t="str">
        <x:v>自然天气保留；稀有天气可由来访者带入</x:v>
      </x:c>
    </x:row>
    <x:row r="12" ht="48" customHeight="1">
      <x:c r="A12" s="10" t="str">
        <x:v>稀有天气</x:v>
      </x:c>
      <x:c r="B12" s="10" t="str">
        <x:v>随机SSR</x:v>
      </x:c>
      <x:c r="C12" s="10" t="n">
        <x:v>0.02</x:v>
      </x:c>
      <x:c r="D12" s="10" t="str">
        <x:v>概率/时段</x:v>
      </x:c>
      <x:c r="E12" s="10" t="str">
        <x:v>代码实际</x:v>
      </x:c>
      <x:c r="F12" s="10" t="str">
        <x:v>强制时段之外2%；SSR五类等权</x:v>
      </x:c>
      <x:c r="G12" s="10" t="str">
        <x:v>稀有天气是邀请理由；不售卖访客受益资格</x:v>
      </x:c>
    </x:row>
    <x:row r="13" ht="48" customHeight="1">
      <x:c r="A13" s="9" t="str">
        <x:v>稀有天气</x:v>
      </x:c>
      <x:c r="B13" s="9" t="str">
        <x:v>固定保底间隔</x:v>
      </x:c>
      <x:c r="C13" s="9" t="n">
        <x:v>48</x:v>
      </x:c>
      <x:c r="D13" s="9" t="str">
        <x:v>小时</x:v>
      </x:c>
      <x:c r="E13" s="9" t="str">
        <x:v>代码实际</x:v>
      </x:c>
      <x:c r="F13" s="9" t="str">
        <x:v>96个半小时=48小时；原注释四天与实现不符，应修正文案</x:v>
      </x:c>
      <x:c r="G13" s="9" t="str">
        <x:v>个人时段偏移，SSR随机出现不推迟固定保底</x:v>
      </x:c>
    </x:row>
    <x:row r="14" ht="48" customHeight="1">
      <x:c r="A14" s="10" t="str">
        <x:v>天气共享</x:v>
      </x:c>
      <x:c r="B14" s="10" t="str">
        <x:v>接受后生效等待</x:v>
      </x:c>
      <x:c r="C14" s="10" t="n">
        <x:v>2</x:v>
      </x:c>
      <x:c r="D14" s="10" t="str">
        <x:v>分钟</x:v>
      </x:c>
      <x:c r="E14" s="10" t="str">
        <x:v>当前逻辑基础</x:v>
      </x:c>
      <x:c r="F14" s="10" t="str">
        <x:v>房主与访客各自接受；保留来源剩余有效期，不复制时长</x:v>
      </x:c>
      <x:c r="G14" s="10" t="str">
        <x:v>每人每节点只用一个天气；同房不叠乘概率</x:v>
      </x:c>
    </x:row>
    <x:row r="15" ht="48" customHeight="1">
      <x:c r="A15" s="9" t="str">
        <x:v>天气共享</x:v>
      </x:c>
      <x:c r="B15" s="9" t="str">
        <x:v>节点位置</x:v>
      </x:c>
      <x:c r="C15" s="9" t="n">
        <x:v>4</x:v>
      </x:c>
      <x:c r="D15" s="9" t="str">
        <x:v>次/株</x:v>
      </x:c>
      <x:c r="E15" s="9" t="str">
        <x:v>现有规则</x:v>
      </x:c>
      <x:c r="F15" s="9" t="str">
        <x:v>自然时长20%/40%/60%/80%时结算；已结算节点不重抽</x:v>
      </x:c>
      <x:c r="G15" s="9" t="str">
        <x:v>离房恢复个人天气；历史受益和物品归属不变</x:v>
      </x:c>
    </x:row>
    <x:row r="16" ht="48" customHeight="1">
      <x:c r="A16" s="10" t="str">
        <x:v>R天气</x:v>
      </x:c>
      <x:c r="B16" s="10" t="str">
        <x:v>蓝/紫/金/彩</x:v>
      </x:c>
      <x:c r="C16" s="10" t="n">
        <x:v>0.001</x:v>
      </x:c>
      <x:c r="D16" s="10" t="str">
        <x:v>金概率/节点</x:v>
      </x:c>
      <x:c r="E16" s="10" t="str">
        <x:v>现有规则</x:v>
      </x:c>
      <x:c r="F16" s="10" t="str">
        <x:v>8% / 1.9% / 0.1% / 0%；余90%无新增</x:v>
      </x:c>
      <x:c r="G16" s="10" t="str">
        <x:v>先判品质再从本天气对应品质因子池均匀抽</x:v>
      </x:c>
    </x:row>
    <x:row r="17" ht="48" customHeight="1">
      <x:c r="A17" s="9" t="str">
        <x:v>SR天气</x:v>
      </x:c>
      <x:c r="B17" s="9" t="str">
        <x:v>蓝/紫/金/彩</x:v>
      </x:c>
      <x:c r="C17" s="9" t="n">
        <x:v>0.01</x:v>
      </x:c>
      <x:c r="D17" s="9" t="str">
        <x:v>金概率/节点</x:v>
      </x:c>
      <x:c r="E17" s="9" t="str">
        <x:v>现有规则</x:v>
      </x:c>
      <x:c r="F17" s="9" t="str">
        <x:v>12% / 5% / 1% / 0%；余82%无新增</x:v>
      </x:c>
      <x:c r="G17" s="9" t="str">
        <x:v>同槽冲突/空候选池可能无新增；不等于最终成品率</x:v>
      </x:c>
    </x:row>
    <x:row r="18" ht="48" customHeight="1">
      <x:c r="A18" s="10" t="str">
        <x:v>SSR天气</x:v>
      </x:c>
      <x:c r="B18" s="10" t="str">
        <x:v>蓝/紫/金/彩</x:v>
      </x:c>
      <x:c r="C18" s="10" t="n">
        <x:v>0.08</x:v>
      </x:c>
      <x:c r="D18" s="10" t="str">
        <x:v>金概率/节点</x:v>
      </x:c>
      <x:c r="E18" s="10" t="str">
        <x:v>现有规则</x:v>
      </x:c>
      <x:c r="F18" s="10" t="str">
        <x:v>14% / 12% / 8% / 1%；余65%无新增</x:v>
      </x:c>
      <x:c r="G18" s="10" t="str">
        <x:v>极光、流星、幻光、极昼、星图各有因子候选池</x:v>
      </x:c>
    </x:row>
    <x:row r="19" ht="48" customHeight="1">
      <x:c r="A19" s="9" t="str">
        <x:v>成熟通知</x:v>
      </x:c>
      <x:c r="B19" s="9" t="str">
        <x:v>记录保存</x:v>
      </x:c>
      <x:c r="C19" s="9" t="n">
        <x:v>100</x:v>
      </x:c>
      <x:c r="D19" s="9" t="str">
        <x:v>条</x:v>
      </x:c>
      <x:c r="E19" s="9" t="str">
        <x:v>现有规则</x:v>
      </x:c>
      <x:c r="F19" s="9" t="str">
        <x:v>打开花园汇总：植物名＋天气名＋来源＋新增因子</x:v>
      </x:c>
      <x:c r="G19" s="9" t="str">
        <x:v>邀请方和受益方均可看见共享带来的实际结果</x:v>
      </x:c>
    </x:row>
    <x:row r="20" ht="48" customHeight="1">
      <x:c r="A20" s="10" t="str">
        <x:v>好友货架</x:v>
      </x:c>
      <x:c r="B20" s="10" t="str">
        <x:v>每日稀有报价概率</x:v>
      </x:c>
      <x:c r="C20" s="10" t="n">
        <x:v>0.08</x:v>
      </x:c>
      <x:c r="D20" s="10" t="str">
        <x:v>概率/好友/日</x:v>
      </x:c>
      <x:c r="E20" s="10" t="str">
        <x:v>当前六件家具规则</x:v>
      </x:c>
      <x:c r="F20" s="10" t="str">
        <x:v>命中后4000/6000/9000金币档按60%/30%/10%</x:v>
      </x:c>
      <x:c r="G20" s="10" t="str">
        <x:v>正式目录按同稀有档换物；跨好友购买仍须账本校验</x:v>
      </x:c>
    </x:row>
    <x:row r="21" ht="48" customHeight="1">
      <x:c r="A21" s="9" t="str">
        <x:v>加速结算</x:v>
      </x:c>
      <x:c r="B21" s="9" t="str">
        <x:v>累计减时上限</x:v>
      </x:c>
      <x:c r="C21" s="9" t="n">
        <x:v>0.75</x:v>
      </x:c>
      <x:c r="D21" s="9" t="str">
        <x:v>原时长比例</x:v>
      </x:c>
      <x:c r="E21" s="9" t="str">
        <x:v>新提案</x:v>
      </x:c>
      <x:c r="F21" s="9" t="str">
        <x:v>定时肥新ID FERT_TIME30/180；旧百分比肥库存不改语义</x:v>
      </x:c>
      <x:c r="G21" s="9" t="str">
        <x:v>先结算已到节点；剩余节点持久化一次结算，不能刷新刷变异</x:v>
      </x:c>
    </x:row>
    <x:row r="22" ht="48" customHeight="1">
      <x:c r="A22" s="10" t="str">
        <x:v>互助繁育</x:v>
      </x:c>
      <x:c r="B22" s="10" t="str">
        <x:v>对象与归属</x:v>
      </x:c>
      <x:c r="C22" s="10" t="n">
        <x:v>1</x:v>
      </x:c>
      <x:c r="D22" s="10" t="str">
        <x:v>邀请/配对</x:v>
      </x:c>
      <x:c r="E22" s="10" t="str">
        <x:v>新增正式规则待开发</x:v>
      </x:c>
      <x:c r="F22" s="10" t="str">
        <x:v>双亲拥有者都明确同意；一次会话锁亲本；发起者付油并获得种子</x:v>
      </x:c>
      <x:c r="G22" s="10" t="str">
        <x:v>受邀方固定20金币每天最多3次，不复制稀有种子；拒绝不扣物</x:v>
      </x:c>
    </x:row>
    <x:row r="23" ht="48" customHeight="1">
      <x:c r="A23" s="9" t="str">
        <x:v>互助繁育</x:v>
      </x:c>
      <x:c r="B23" s="9" t="str">
        <x:v>同意有效期</x:v>
      </x:c>
      <x:c r="C23" s="9" t="n">
        <x:v>10</x:v>
      </x:c>
      <x:c r="D23" s="9" t="str">
        <x:v>分钟</x:v>
      </x:c>
      <x:c r="E23" s="9" t="str">
        <x:v>新提案</x:v>
      </x:c>
      <x:c r="F23" s="9" t="str">
        <x:v>双方预览亲本和结果归属；确认后同时标记已繁育</x:v>
      </x:c>
      <x:c r="G23" s="9" t="str">
        <x:v>不可跨会话复用亲本；超时释放；NPC仅教程不刷真人荣誉</x:v>
      </x:c>
    </x:row>
  </x:sheetData>
  <x:pageMargins left="0.7" right="0.7" top="0.75" bottom="0.75" header="0.3" footer="0.3"/>
  <x:tableParts count="1">
    <x:tablePart xmlns:r="http://schemas.openxmlformats.org/officeDocument/2006/relationships" r:id="R314ea206a66d4dbb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24" hidden="0" customWidth="1"/>
    <x:col min="4" max="4" width="74" hidden="0" customWidth="1"/>
    <x:col min="5" max="5" width="80" hidden="0" customWidth="1"/>
    <x:col min="6" max="6" width="68" hidden="0" customWidth="1"/>
    <x:col min="7" max="7" width="42" hidden="0" customWidth="1"/>
    <x:col min="8" max="8" width="28" hidden="0" customWidth="1"/>
    <x:col min="9" max="9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开发清单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8" t="str">
        <x:v>任务ID</x:v>
      </x:c>
      <x:c r="B6" s="8" t="str">
        <x:v>阶段</x:v>
      </x:c>
      <x:c r="C6" s="8" t="str">
        <x:v>模块</x:v>
      </x:c>
      <x:c r="D6" s="8" t="str">
        <x:v>交付内容</x:v>
      </x:c>
      <x:c r="E6" s="8" t="str">
        <x:v>完成判据</x:v>
      </x:c>
      <x:c r="F6" s="8" t="str">
        <x:v>现状证据</x:v>
      </x:c>
      <x:c r="G6" s="8" t="str">
        <x:v>主要数据结构</x:v>
      </x:c>
      <x:c r="H6" s="8" t="str">
        <x:v>前置依赖</x:v>
      </x:c>
      <x:c r="I6" s="8" t="str">
        <x:v>状态</x:v>
      </x:c>
    </x:row>
    <x:row r="7" ht="48" customHeight="1">
      <x:c r="A7" s="9" t="str">
        <x:v>P0-01</x:v>
      </x:c>
      <x:c r="B7" s="9" t="str">
        <x:v>P0</x:v>
      </x:c>
      <x:c r="C7" s="9" t="str">
        <x:v>账本与配置</x:v>
      </x:c>
      <x:c r="D7" s="9" t="str">
        <x:v>购买晶/赠晶/金币/星屑独立流水</x:v>
      </x:c>
      <x:c r="E7" s="9" t="str">
        <x:v>充值与扣费幂等，余额不能为负</x:v>
      </x:c>
      <x:c r="F7" s="9" t="str">
        <x:v>现有coins/tokens仅测试</x:v>
      </x:c>
      <x:c r="G7" s="9" t="str">
        <x:v>新增wallet、wallet_entries</x:v>
      </x:c>
      <x:c r="H7" s="9" t="str">
        <x:v>所有经济功能</x:v>
      </x:c>
      <x:c r="I7" s="9" t="str">
        <x:v>待开发</x:v>
      </x:c>
    </x:row>
    <x:row r="8" ht="48" customHeight="1">
      <x:c r="A8" s="10" t="str">
        <x:v>P0-02</x:v>
      </x:c>
      <x:c r="B8" s="10" t="str">
        <x:v>P0</x:v>
      </x:c>
      <x:c r="C8" s="10" t="str">
        <x:v>账号物品</x:v>
      </x:c>
      <x:c r="D8" s="10" t="str">
        <x:v>物品ID、永久解锁与数量库存分离</x:v>
      </x:c>
      <x:c r="E8" s="10" t="str">
        <x:v>角色装配不消耗解锁物</x:v>
      </x:c>
      <x:c r="F8" s="10" t="str">
        <x:v>家具数量已有，外观无</x:v>
      </x:c>
      <x:c r="G8" s="10" t="str">
        <x:v>items、unlocks、inventory</x:v>
      </x:c>
      <x:c r="H8" s="10" t="str">
        <x:v>外观/家具</x:v>
      </x:c>
      <x:c r="I8" s="10" t="str">
        <x:v>待开发</x:v>
      </x:c>
    </x:row>
    <x:row r="9" ht="48" customHeight="1">
      <x:c r="A9" s="9" t="str">
        <x:v>P0-03</x:v>
      </x:c>
      <x:c r="B9" s="9" t="str">
        <x:v>P0</x:v>
      </x:c>
      <x:c r="C9" s="9" t="str">
        <x:v>测试迁移</x:v>
      </x:c>
      <x:c r="D9" s="9" t="str">
        <x:v>测试token归档，不变真实付费余额</x:v>
      </x:c>
      <x:c r="E9" s="9" t="str">
        <x:v>有快照、版本号、一次性迁移</x:v>
      </x:c>
      <x:c r="F9" s="9" t="str">
        <x:v>现有模拟充值300/日</x:v>
      </x:c>
      <x:c r="G9" s="9" t="str">
        <x:v>migration_receipts</x:v>
      </x:c>
      <x:c r="H9" s="9" t="str">
        <x:v>正式钱包</x:v>
      </x:c>
      <x:c r="I9" s="9" t="str">
        <x:v>待开发</x:v>
      </x:c>
    </x:row>
    <x:row r="10" ht="48" customHeight="1">
      <x:c r="A10" s="10" t="str">
        <x:v>P0-04</x:v>
      </x:c>
      <x:c r="B10" s="10" t="str">
        <x:v>P0</x:v>
      </x:c>
      <x:c r="C10" s="10" t="str">
        <x:v>素材目录</x:v>
      </x:c>
      <x:c r="D10" s="10" t="str">
        <x:v>配置引用资产ID、版本和摘要</x:v>
      </x:c>
      <x:c r="E10" s="10" t="str">
        <x:v>缺图标/槽位/适配信息阻止投放</x:v>
      </x:c>
      <x:c r="F10" s="10" t="str">
        <x:v>6件家具图与独立试衣间效果可评估复用</x:v>
      </x:c>
      <x:c r="G10" s="10" t="str">
        <x:v>asset_manifest</x:v>
      </x:c>
      <x:c r="H10" s="10" t="str">
        <x:v>全部内容</x:v>
      </x:c>
      <x:c r="I10" s="10" t="str">
        <x:v>待开发</x:v>
      </x:c>
    </x:row>
    <x:row r="11" ht="48" customHeight="1">
      <x:c r="A11" s="9" t="str">
        <x:v>P1-01</x:v>
      </x:c>
      <x:c r="B11" s="9" t="str">
        <x:v>P1</x:v>
      </x:c>
      <x:c r="C11" s="9" t="str">
        <x:v>旅行</x:v>
      </x:c>
      <x:c r="D11" s="9" t="str">
        <x:v>24配置、首发12；见闻1/3/6/12奖励</x:v>
      </x:c>
      <x:c r="E11" s="9" t="str">
        <x:v>派遣恢复、领取幂等、不倍增同行奖励</x:v>
      </x:c>
      <x:c r="F11" s="9" t="str">
        <x:v>当前仅三个测试目的地</x:v>
      </x:c>
      <x:c r="G11" s="9" t="str">
        <x:v>trips、region_progress</x:v>
      </x:c>
      <x:c r="H11" s="9" t="str">
        <x:v>地区内容</x:v>
      </x:c>
      <x:c r="I11" s="9" t="str">
        <x:v>待开发</x:v>
      </x:c>
    </x:row>
    <x:row r="12" ht="48" customHeight="1">
      <x:c r="A12" s="10" t="str">
        <x:v>P1-02</x:v>
      </x:c>
      <x:c r="B12" s="10" t="str">
        <x:v>P1</x:v>
      </x:c>
      <x:c r="C12" s="10" t="str">
        <x:v>地区植物</x:v>
      </x:c>
      <x:c r="D12" s="10" t="str">
        <x:v>48物种规划；首发24独立外观</x:v>
      </x:c>
      <x:c r="E12" s="10" t="str">
        <x:v>先支持新species与9旧species兼容</x:v>
      </x:c>
      <x:c r="F12" s="10" t="str">
        <x:v>当前只有origin标签</x:v>
      </x:c>
      <x:c r="G12" s="10" t="str">
        <x:v>species_catalog</x:v>
      </x:c>
      <x:c r="H12" s="10" t="str">
        <x:v>繁育与图鉴</x:v>
      </x:c>
      <x:c r="I12" s="10" t="str">
        <x:v>待开发</x:v>
      </x:c>
    </x:row>
    <x:row r="13" ht="48" customHeight="1">
      <x:c r="A13" s="9" t="str">
        <x:v>P1-03</x:v>
      </x:c>
      <x:c r="B13" s="9" t="str">
        <x:v>P1</x:v>
      </x:c>
      <x:c r="C13" s="9" t="str">
        <x:v>家具库</x:v>
      </x:c>
      <x:c r="D13" s="9" t="str">
        <x:v>144规划、首发96与24基础件分开</x:v>
      </x:c>
      <x:c r="E13" s="9" t="str">
        <x:v>三摆放面、所有件可预览入库摆放</x:v>
      </x:c>
      <x:c r="F13" s="9" t="str">
        <x:v>24基础件＋6新图可复用</x:v>
      </x:c>
      <x:c r="G13" s="9" t="str">
        <x:v>furniture_catalog</x:v>
      </x:c>
      <x:c r="H13" s="9" t="str">
        <x:v>房间渲染</x:v>
      </x:c>
      <x:c r="I13" s="9" t="str">
        <x:v>待开发</x:v>
      </x:c>
    </x:row>
    <x:row r="14" ht="48" customHeight="1">
      <x:c r="A14" s="10" t="str">
        <x:v>P1-04</x:v>
      </x:c>
      <x:c r="B14" s="10" t="str">
        <x:v>P1</x:v>
      </x:c>
      <x:c r="C14" s="10" t="str">
        <x:v>外观装配</x:v>
      </x:c>
      <x:c r="D14" s="10" t="str">
        <x:v>五槽每角色配置，账号解锁共用</x:v>
      </x:c>
      <x:c r="E14" s="10" t="str">
        <x:v>三种角色均可预览和装配</x:v>
      </x:c>
      <x:c r="F14" s="10" t="str">
        <x:v>未实现</x:v>
      </x:c>
      <x:c r="G14" s="10" t="str">
        <x:v>equipment_by_actor</x:v>
      </x:c>
      <x:c r="H14" s="10" t="str">
        <x:v>联机广播</x:v>
      </x:c>
      <x:c r="I14" s="10" t="str">
        <x:v>待开发</x:v>
      </x:c>
    </x:row>
    <x:row r="15" ht="48" customHeight="1">
      <x:c r="A15" s="9" t="str">
        <x:v>P1-05</x:v>
      </x:c>
      <x:c r="B15" s="9" t="str">
        <x:v>P1</x:v>
      </x:c>
      <x:c r="C15" s="9" t="str">
        <x:v>展示效果</x:v>
      </x:c>
      <x:c r="D15" s="9" t="str">
        <x:v>框/脚印/入场/残影公共层</x:v>
      </x:c>
      <x:c r="E15" s="9" t="str">
        <x:v>8人房预算、减少动态模式、资源降级</x:v>
      </x:c>
      <x:c r="F15" s="9" t="str">
        <x:v>独立试衣间有黑洞/步生花/苍蓝幽焰，未接商品存档</x:v>
      </x:c>
      <x:c r="G15" s="9" t="str">
        <x:v>cosmetic_renderer</x:v>
      </x:c>
      <x:c r="H15" s="9" t="str">
        <x:v>资产与槽位</x:v>
      </x:c>
      <x:c r="I15" s="9" t="str">
        <x:v>待开发</x:v>
      </x:c>
    </x:row>
    <x:row r="16" ht="48" customHeight="1">
      <x:c r="A16" s="10" t="str">
        <x:v>P1-06</x:v>
      </x:c>
      <x:c r="B16" s="10" t="str">
        <x:v>P1</x:v>
      </x:c>
      <x:c r="C16" s="10" t="str">
        <x:v>免费成长池</x:v>
      </x:c>
      <x:c r="D16" s="10" t="str">
        <x:v>补给券和金币300抽，70/25/5</x:v>
      </x:c>
      <x:c r="E16" s="10" t="str">
        <x:v>金币补给稳定供给；付费混合池另配，不切断免费路线</x:v>
      </x:c>
      <x:c r="F16" s="10" t="str">
        <x:v>现有混合测试池需拆</x:v>
      </x:c>
      <x:c r="G16" s="10" t="str">
        <x:v>pool_state、receipts</x:v>
      </x:c>
      <x:c r="H16" s="10" t="str">
        <x:v>钱包/目录</x:v>
      </x:c>
      <x:c r="I16" s="10" t="str">
        <x:v>待开发</x:v>
      </x:c>
    </x:row>
    <x:row r="17" ht="48" customHeight="1">
      <x:c r="A17" s="9" t="str">
        <x:v>P1-07</x:v>
      </x:c>
      <x:c r="B17" s="9" t="str">
        <x:v>P1</x:v>
      </x:c>
      <x:c r="C17" s="9" t="str">
        <x:v>成就与心愿</x:v>
      </x:c>
      <x:c r="D17" s="9" t="str">
        <x:v>明确对象心愿、荣誉不可购买</x:v>
      </x:c>
      <x:c r="E17" s="9" t="str">
        <x:v>切角色不刷奖励，NPC明确过滤</x:v>
      </x:c>
      <x:c r="F17" s="9" t="str">
        <x:v>当前每日两心愿已有</x:v>
      </x:c>
      <x:c r="G17" s="9" t="str">
        <x:v>achievements、quest_events</x:v>
      </x:c>
      <x:c r="H17" s="9" t="str">
        <x:v>记录真实性</x:v>
      </x:c>
      <x:c r="I17" s="9" t="str">
        <x:v>部分已有</x:v>
      </x:c>
    </x:row>
    <x:row r="18" ht="48" customHeight="1">
      <x:c r="A18" s="10" t="str">
        <x:v>P2-01</x:v>
      </x:c>
      <x:c r="B18" s="10" t="str">
        <x:v>P2</x:v>
      </x:c>
      <x:c r="C18" s="10" t="str">
        <x:v>珍藏池</x:v>
      </x:c>
      <x:c r="D18" s="10" t="str">
        <x:v>80/18/2、10/60保底、每抽2碎片、80抽可兑指定SSR</x:v>
      </x:c>
      <x:c r="E18" s="10" t="str">
        <x:v>展示单件率、跨期规则、退款幂等</x:v>
      </x:c>
      <x:c r="F18" s="10" t="str">
        <x:v>现有测试池不能直接当付费池</x:v>
      </x:c>
      <x:c r="G18" s="10" t="str">
        <x:v>pool_pity、draw_ledger</x:v>
      </x:c>
      <x:c r="H18" s="10" t="str">
        <x:v>首发3件抽取外观真实可兑现</x:v>
      </x:c>
      <x:c r="I18" s="10" t="str">
        <x:v>待开发</x:v>
      </x:c>
    </x:row>
    <x:row r="19" ht="48" customHeight="1">
      <x:c r="A19" s="9" t="str">
        <x:v>P2-02</x:v>
      </x:c>
      <x:c r="B19" s="9" t="str">
        <x:v>P2</x:v>
      </x:c>
      <x:c r="C19" s="9" t="str">
        <x:v>直购兑换</x:v>
      </x:c>
      <x:c r="D19" s="9" t="str">
        <x:v>星晶直购＋星屑指定兑换</x:v>
      </x:c>
      <x:c r="E19" s="9" t="str">
        <x:v>已拥有不重复收费，荣誉不入商店</x:v>
      </x:c>
      <x:c r="F19" s="9" t="str">
        <x:v>未实现</x:v>
      </x:c>
      <x:c r="G19" s="9" t="str">
        <x:v>offers、purchase_ledger</x:v>
      </x:c>
      <x:c r="H19" s="9" t="str">
        <x:v>物品解锁</x:v>
      </x:c>
      <x:c r="I19" s="9" t="str">
        <x:v>待开发</x:v>
      </x:c>
    </x:row>
    <x:row r="20" ht="48" customHeight="1">
      <x:c r="A20" s="10" t="str">
        <x:v>P2-03</x:v>
      </x:c>
      <x:c r="B20" s="10" t="str">
        <x:v>P2</x:v>
      </x:c>
      <x:c r="C20" s="10" t="str">
        <x:v>生成服务</x:v>
      </x:c>
      <x:c r="D20" s="10" t="str">
        <x:v>报价/预扣/验收/结算/退款</x:v>
      </x:c>
      <x:c r="E20" s="10" t="str">
        <x:v>任务重试不二次扣费；失败释放</x:v>
      </x:c>
      <x:c r="F20" s="10" t="str">
        <x:v>当前/account unlimited:true</x:v>
      </x:c>
      <x:c r="G20" s="10" t="str">
        <x:v>quotes、holds、job_costs</x:v>
      </x:c>
      <x:c r="H20" s="10" t="str">
        <x:v>实测成本/支付</x:v>
      </x:c>
      <x:c r="I20" s="10" t="str">
        <x:v>待开发</x:v>
      </x:c>
    </x:row>
    <x:row r="21" ht="48" customHeight="1">
      <x:c r="A21" s="9" t="str">
        <x:v>P2-05</x:v>
      </x:c>
      <x:c r="B21" s="9" t="str">
        <x:v>P2</x:v>
      </x:c>
      <x:c r="C21" s="9" t="str">
        <x:v>加速与活动</x:v>
      </x:c>
      <x:c r="D21" s="9" t="str">
        <x:v>旅行券/两档肥/金币包/活动追赶</x:v>
      </x:c>
      <x:c r="E21" s="9" t="str">
        <x:v>免费晚入场可完成基础奖；加速上限权威验证</x:v>
      </x:c>
      <x:c r="F21" s="9" t="str">
        <x:v>未实现完整计费与活动</x:v>
      </x:c>
      <x:c r="G21" s="9" t="str">
        <x:v>boost_receipts、event_progress</x:v>
      </x:c>
      <x:c r="H21" s="9" t="str">
        <x:v>钱包/计时/每日上限</x:v>
      </x:c>
      <x:c r="I21" s="9" t="str">
        <x:v>待开发</x:v>
      </x:c>
    </x:row>
    <x:row r="22" ht="48" customHeight="1">
      <x:c r="A22" s="10" t="str">
        <x:v>P2-04</x:v>
      </x:c>
      <x:c r="B22" s="10" t="str">
        <x:v>P2</x:v>
      </x:c>
      <x:c r="C22" s="10" t="str">
        <x:v>支付</x:v>
      </x:c>
      <x:c r="D22" s="10" t="str">
        <x:v>充值回执、渠道退款、对账</x:v>
      </x:c>
      <x:c r="E22" s="10" t="str">
        <x:v>服务端验签，赠送与购买分账</x:v>
      </x:c>
      <x:c r="F22" s="10" t="str">
        <x:v>没有真实支付</x:v>
      </x:c>
      <x:c r="G22" s="10" t="str">
        <x:v>payment_orders</x:v>
      </x:c>
      <x:c r="H22" s="10" t="str">
        <x:v>财务及发行条件</x:v>
      </x:c>
      <x:c r="I22" s="10" t="str">
        <x:v>待开发</x:v>
      </x:c>
    </x:row>
    <x:row r="23" ht="48" customHeight="1">
      <x:c r="A23" s="9" t="str">
        <x:v>OPS-01</x:v>
      </x:c>
      <x:c r="B23" s="9" t="str">
        <x:v>运营</x:v>
      </x:c>
      <x:c r="C23" s="9" t="str">
        <x:v>内容发布</x:v>
      </x:c>
      <x:c r="D23" s="9" t="str">
        <x:v>按批次和资产完整性启用</x:v>
      </x:c>
      <x:c r="E23" s="9" t="str">
        <x:v>不能只加名称就宣称新地区</x:v>
      </x:c>
      <x:c r="F23" s="9" t="str">
        <x:v>当前硬编码常量</x:v>
      </x:c>
      <x:c r="G23" s="9" t="str">
        <x:v>versioned catalogs</x:v>
      </x:c>
      <x:c r="H23" s="9" t="str">
        <x:v>全部基础模块</x:v>
      </x:c>
      <x:c r="I23" s="9" t="str">
        <x:v>待开发</x:v>
      </x:c>
    </x:row>
    <x:row r="24" ht="48" customHeight="1">
      <x:c r="A24" s="10" t="str">
        <x:v>QA-01</x:v>
      </x:c>
      <x:c r="B24" s="10" t="str">
        <x:v>QA</x:v>
      </x:c>
      <x:c r="C24" s="10" t="str">
        <x:v>旧档与回滚</x:v>
      </x:c>
      <x:c r="D24" s="10" t="str">
        <x:v>老金币/植物/谱系/布局保留</x:v>
      </x:c>
      <x:c r="E24" s="10" t="str">
        <x:v>至少全量生产副本跑迁移</x:v>
      </x:c>
      <x:c r="F24" s="10" t="str">
        <x:v>已有局部迁移验证</x:v>
      </x:c>
      <x:c r="G24" s="10" t="str">
        <x:v>migration snapshots</x:v>
      </x:c>
      <x:c r="H24" s="10" t="str">
        <x:v>版本切换</x:v>
      </x:c>
      <x:c r="I24" s="10" t="str">
        <x:v>延续已有流程</x:v>
      </x:c>
    </x:row>
    <x:row r="25" ht="48" customHeight="1">
      <x:c r="A25" s="9" t="str">
        <x:v>QA-02</x:v>
      </x:c>
      <x:c r="B25" s="9" t="str">
        <x:v>QA</x:v>
      </x:c>
      <x:c r="C25" s="9" t="str">
        <x:v>经济验证</x:v>
      </x:c>
      <x:c r="D25" s="9" t="str">
        <x:v>7/30/90日分层与强度分布</x:v>
      </x:c>
      <x:c r="E25" s="9" t="str">
        <x:v>真实数据回填，不用预算代替留存实测</x:v>
      </x:c>
      <x:c r="F25" s="9" t="str">
        <x:v>当前缺长线真实数据</x:v>
      </x:c>
      <x:c r="G25" s="9" t="str">
        <x:v>economy_events</x:v>
      </x:c>
      <x:c r="H25" s="9" t="str">
        <x:v>灰度测试</x:v>
      </x:c>
      <x:c r="I25" s="9" t="str">
        <x:v>待执行</x:v>
      </x:c>
    </x:row>
  </x:sheetData>
  <x:pageMargins left="0.7" right="0.7" top="0.75" bottom="0.75" header="0.3" footer="0.3"/>
  <x:tableParts count="1">
    <x:tablePart xmlns:r="http://schemas.openxmlformats.org/officeDocument/2006/relationships" r:id="Rd89c6c99c15e421d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83" hidden="0" customWidth="1"/>
    <x:col min="4" max="4" width="80" hidden="0" customWidth="1"/>
    <x:col min="5" max="5" width="20" hidden="0" customWidth="1"/>
    <x:col min="6" max="6" width="17" hidden="0" customWidth="1"/>
    <x:col min="7" max="7" width="31" hidden="0" customWidth="1"/>
    <x:col min="8" max="8" width="6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埋点与验收</x:v>
      </x:c>
      <x:c r="B2" s="2"/>
      <x:c r="C2" s="2"/>
      <x:c r="D2" s="2"/>
      <x:c r="E2" s="2"/>
      <x:c r="F2" s="2"/>
      <x:c r="G2" s="2"/>
      <x:c r="H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8" t="str">
        <x:v>事件ID</x:v>
      </x:c>
      <x:c r="B6" s="8" t="str">
        <x:v>触发</x:v>
      </x:c>
      <x:c r="C6" s="8" t="str">
        <x:v>必要字段</x:v>
      </x:c>
      <x:c r="D6" s="8" t="str">
        <x:v>验收要求</x:v>
      </x:c>
      <x:c r="E6" s="8" t="str">
        <x:v>性质</x:v>
      </x:c>
      <x:c r="F6" s="8" t="str">
        <x:v>阈值</x:v>
      </x:c>
      <x:c r="G6" s="8" t="str">
        <x:v>单位</x:v>
      </x:c>
      <x:c r="H6" s="8" t="str">
        <x:v>边界</x:v>
      </x:c>
    </x:row>
    <x:row r="7" ht="48" customHeight="1">
      <x:c r="A7" s="9" t="str">
        <x:v>E_DRAW</x:v>
      </x:c>
      <x:c r="B7" s="9" t="str">
        <x:v>每次抽取</x:v>
      </x:c>
      <x:c r="C7" s="9" t="str">
        <x:v>账号匿名ID/池版本/来源子账/奖励ID/保底前后/交易ID</x:v>
      </x:c>
      <x:c r="D7" s="9" t="str">
        <x:v>重复请求发奖一次，账本与库存增量一致</x:v>
      </x:c>
      <x:c r="E7" s="9" t="str">
        <x:v>上线门槛</x:v>
      </x:c>
      <x:c r="F7" s="9" t="n">
        <x:v>0</x:v>
      </x:c>
      <x:c r="G7" s="9" t="str">
        <x:v>错误笔数</x:v>
      </x:c>
      <x:c r="H7" s="9" t="str">
        <x:v>禁止记录原始密码/付款密钥</x:v>
      </x:c>
    </x:row>
    <x:row r="8" ht="48" customHeight="1">
      <x:c r="A8" s="10" t="str">
        <x:v>E_WALLET</x:v>
      </x:c>
      <x:c r="B8" s="10" t="str">
        <x:v>每次资产变动</x:v>
      </x:c>
      <x:c r="C8" s="10" t="str">
        <x:v>资产ID/原因/余额前后/订单ID</x:v>
      </x:c>
      <x:c r="D8" s="10" t="str">
        <x:v>期初＋入账－出账＝期末</x:v>
      </x:c>
      <x:c r="E8" s="10" t="str">
        <x:v>上线门槛</x:v>
      </x:c>
      <x:c r="F8" s="10" t="n">
        <x:v>0</x:v>
      </x:c>
      <x:c r="G8" s="10" t="str">
        <x:v>未对账笔数</x:v>
      </x:c>
      <x:c r="H8" s="10" t="str">
        <x:v>购买晶和赠晶分开</x:v>
      </x:c>
    </x:row>
    <x:row r="9" ht="48" customHeight="1">
      <x:c r="A9" s="9" t="str">
        <x:v>E_TRIP</x:v>
      </x:c>
      <x:c r="B9" s="9" t="str">
        <x:v>旅行出发与领取</x:v>
      </x:c>
      <x:c r="C9" s="9" t="str">
        <x:v>地区ID/同行数/扣费/见闻次数/离线时长</x:v>
      </x:c>
      <x:c r="D9" s="9" t="str">
        <x:v>D7有一次普通旅行；领取不重复</x:v>
      </x:c>
      <x:c r="E9" s="9" t="str">
        <x:v>观察目标</x:v>
      </x:c>
      <x:c r="F9" s="9" t="n">
        <x:v>0.6</x:v>
      </x:c>
      <x:c r="G9" s="9" t="str">
        <x:v>D7普通旅行达成率</x:v>
      </x:c>
      <x:c r="H9" s="9" t="str">
        <x:v>目标是假设，不是已达成数据</x:v>
      </x:c>
    </x:row>
    <x:row r="10" ht="48" customHeight="1">
      <x:c r="A10" s="10" t="str">
        <x:v>E_STYLE</x:v>
      </x:c>
      <x:c r="B10" s="10" t="str">
        <x:v>装配及他人可见</x:v>
      </x:c>
      <x:c r="C10" s="10" t="str">
        <x:v>外观ID/槽位/角色类型/房间人数/加载结果</x:v>
      </x:c>
      <x:c r="D10" s="10" t="str">
        <x:v>获得后10分钟内装配一次</x:v>
      </x:c>
      <x:c r="E10" s="10" t="str">
        <x:v>观察目标</x:v>
      </x:c>
      <x:c r="F10" s="10" t="n">
        <x:v>0.7</x:v>
      </x:c>
      <x:c r="G10" s="10" t="str">
        <x:v>首件外观装配率</x:v>
      </x:c>
      <x:c r="H10" s="10" t="str">
        <x:v>不统计文本内容</x:v>
      </x:c>
    </x:row>
    <x:row r="11" ht="48" customHeight="1">
      <x:c r="A11" s="9" t="str">
        <x:v>E_EFFECT</x:v>
      </x:c>
      <x:c r="B11" s="9" t="str">
        <x:v>外观渲染</x:v>
      </x:c>
      <x:c r="C11" s="9" t="str">
        <x:v>平均帧时/粒子峰值/降级原因</x:v>
      </x:c>
      <x:c r="D11" s="9" t="str">
        <x:v>8人房新增效果P95帧耗时≤4ms</x:v>
      </x:c>
      <x:c r="E11" s="9" t="str">
        <x:v>性能目标</x:v>
      </x:c>
      <x:c r="F11" s="9" t="n">
        <x:v>4</x:v>
      </x:c>
      <x:c r="G11" s="9" t="str">
        <x:v>毫秒</x:v>
      </x:c>
      <x:c r="H11" s="9" t="str">
        <x:v>固定测试设备记录机型</x:v>
      </x:c>
    </x:row>
    <x:row r="12" ht="48" customHeight="1">
      <x:c r="A12" s="10" t="str">
        <x:v>E_GOLD</x:v>
      </x:c>
      <x:c r="B12" s="10" t="str">
        <x:v>每日经济</x:v>
      </x:c>
      <x:c r="C12" s="10" t="str">
        <x:v>净产出/种苗/旅行/精油/家具/空地时长</x:v>
      </x:c>
      <x:c r="D12" s="10" t="str">
        <x:v>P50与P90均不出现无种苗死锁</x:v>
      </x:c>
      <x:c r="E12" s="10" t="str">
        <x:v>上线门槛</x:v>
      </x:c>
      <x:c r="F12" s="10" t="n">
        <x:v>0</x:v>
      </x:c>
      <x:c r="G12" s="10" t="str">
        <x:v>无补种路径玩家数</x:v>
      </x:c>
      <x:c r="H12" s="10" t="str">
        <x:v>金币囤积按活跃日分层</x:v>
      </x:c>
    </x:row>
    <x:row r="13" ht="48" customHeight="1">
      <x:c r="A13" s="9" t="str">
        <x:v>E_GEN</x:v>
      </x:c>
      <x:c r="B13" s="9" t="str">
        <x:v>每个生成任务</x:v>
      </x:c>
      <x:c r="C13" s="9" t="str">
        <x:v>供应商实际费用/尝试次数/成功率/退款/消耗购买晶</x:v>
      </x:c>
      <x:c r="D13" s="9" t="str">
        <x:v>失败退款完成，真实成本可追踪</x:v>
      </x:c>
      <x:c r="E13" s="9" t="str">
        <x:v>上线门槛</x:v>
      </x:c>
      <x:c r="F13" s="9" t="n">
        <x:v>0</x:v>
      </x:c>
      <x:c r="G13" s="9" t="str">
        <x:v>失败未退订单</x:v>
      </x:c>
      <x:c r="H13" s="9" t="str">
        <x:v>成本不明不售卖</x:v>
      </x:c>
    </x:row>
    <x:row r="14" ht="48" customHeight="1">
      <x:c r="A14" s="10" t="str">
        <x:v>E_GUIDE</x:v>
      </x:c>
      <x:c r="B14" s="10" t="str">
        <x:v>新手步骤</x:v>
      </x:c>
      <x:c r="C14" s="10" t="str">
        <x:v>步骤ID/开始结束/跳过/卡住原因</x:v>
      </x:c>
      <x:c r="D14" s="10" t="str">
        <x:v>首会话先社交与繁育，再展示付费</x:v>
      </x:c>
      <x:c r="E14" s="10" t="str">
        <x:v>观察目标</x:v>
      </x:c>
      <x:c r="F14" s="10" t="n">
        <x:v>0.75</x:v>
      </x:c>
      <x:c r="G14" s="10" t="str">
        <x:v>教学繁育完成率</x:v>
      </x:c>
      <x:c r="H14" s="10" t="str">
        <x:v>不能用强制高品质改普通池</x:v>
      </x:c>
    </x:row>
    <x:row r="15" ht="48" customHeight="1">
      <x:c r="A15" s="9" t="str">
        <x:v>E_HONOR</x:v>
      </x:c>
      <x:c r="B15" s="9" t="str">
        <x:v>荣誉进度</x:v>
      </x:c>
      <x:c r="C15" s="9" t="str">
        <x:v>成就ID/来源事件ID/去重条件</x:v>
      </x:c>
      <x:c r="D15" s="9" t="str">
        <x:v>付费订单不能直接改荣誉进度</x:v>
      </x:c>
      <x:c r="E15" s="9" t="str">
        <x:v>上线门槛</x:v>
      </x:c>
      <x:c r="F15" s="9" t="n">
        <x:v>0</x:v>
      </x:c>
      <x:c r="G15" s="9" t="str">
        <x:v>付费直改记录</x:v>
      </x:c>
      <x:c r="H15" s="9" t="str">
        <x:v>测试NPC不刷真人社交荣誉</x:v>
      </x:c>
    </x:row>
    <x:row r="16" ht="48" customHeight="1">
      <x:c r="A16" s="10" t="str">
        <x:v>E_ASSET</x:v>
      </x:c>
      <x:c r="B16" s="10" t="str">
        <x:v>内容上线</x:v>
      </x:c>
      <x:c r="C16" s="10" t="str">
        <x:v>目录ID/素材摘要/三形态适配/状态</x:v>
      </x:c>
      <x:c r="D16" s="10" t="str">
        <x:v>所有启用商品可预览且兑现</x:v>
      </x:c>
      <x:c r="E16" s="10" t="str">
        <x:v>上线门槛</x:v>
      </x:c>
      <x:c r="F16" s="10" t="n">
        <x:v>0</x:v>
      </x:c>
      <x:c r="G16" s="10" t="str">
        <x:v>缺资产启用商品</x:v>
      </x:c>
      <x:c r="H16" s="10" t="str">
        <x:v>测试占位不得标成正式完成</x:v>
      </x:c>
    </x:row>
  </x:sheetData>
  <x:pageMargins left="0.7" right="0.7" top="0.75" bottom="0.75" header="0.3" footer="0.3"/>
  <x:tableParts count="1">
    <x:tablePart xmlns:r="http://schemas.openxmlformats.org/officeDocument/2006/relationships" r:id="Re32167039801451b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9" hidden="0" customWidth="1"/>
    <x:col min="2" max="2" width="29" hidden="0" customWidth="1"/>
    <x:col min="3" max="3" width="76" hidden="0" customWidth="1"/>
  </x:cols>
  <x:sheetData>
    <x:row r="1">
      <x:c r="A1" s="2"/>
      <x:c r="B1" s="2"/>
      <x:c r="C1" s="2"/>
    </x:row>
    <x:row r="2">
      <x:c r="A2" s="3" t="str">
        <x:v>校验</x:v>
      </x:c>
      <x:c r="B2" s="2"/>
      <x:c r="C2" s="2"/>
    </x:row>
    <x:row r="3">
      <x:c r="A3" s="4" t="str">
        <x:v>2026-09-29 · 正式版规划草案；不是当前线上规则</x:v>
      </x:c>
      <x:c r="B3" s="2"/>
      <x:c r="C3" s="2"/>
    </x:row>
    <x:row r="4">
      <x:c r="A4" s="2"/>
      <x:c r="B4" s="2"/>
      <x:c r="C4" s="2"/>
    </x:row>
    <x:row r="5">
      <x:c r="A5" s="2"/>
      <x:c r="B5" s="2"/>
      <x:c r="C5" s="2"/>
    </x:row>
    <x:row r="6" ht="34" customHeight="1">
      <x:c r="A6" s="8" t="str">
        <x:v>检查</x:v>
      </x:c>
      <x:c r="B6" s="8" t="str">
        <x:v>结果</x:v>
      </x:c>
      <x:c r="C6" s="8" t="str">
        <x:v>预期/解释</x:v>
      </x:c>
    </x:row>
    <x:row r="7" ht="48" customHeight="1">
      <x:c r="A7" s="9" t="str">
        <x:v>地区条目数</x:v>
      </x:c>
      <x:c r="B7" s="9" t="n">
        <x:f>COUNTA('旅行地区'!A7:A30)</x:f>
        <x:v>24</x:v>
      </x:c>
      <x:c r="C7" s="9" t="str">
        <x:v>24条，无重复</x:v>
      </x:c>
    </x:row>
    <x:row r="8" ht="48" customHeight="1">
      <x:c r="A8" s="10" t="str">
        <x:v>植物条目数</x:v>
      </x:c>
      <x:c r="B8" s="10" t="n">
        <x:f>COUNTA('地区植物'!A7:A54)</x:f>
        <x:v>48</x:v>
      </x:c>
      <x:c r="C8" s="10" t="str">
        <x:v>48条，无重复</x:v>
      </x:c>
    </x:row>
    <x:row r="9" ht="48" customHeight="1">
      <x:c r="A9" s="9" t="str">
        <x:v>家具条目数</x:v>
      </x:c>
      <x:c r="B9" s="9" t="n">
        <x:f>COUNTA('家具目录'!A7:A150)</x:f>
        <x:v>144</x:v>
      </x:c>
      <x:c r="C9" s="9" t="str">
        <x:v>144条，无重复</x:v>
      </x:c>
    </x:row>
    <x:row r="10" ht="48" customHeight="1">
      <x:c r="A10" s="10" t="str">
        <x:v>外观条目数</x:v>
      </x:c>
      <x:c r="B10" s="10" t="n">
        <x:f>COUNTA('角色外观'!A7:A108)</x:f>
        <x:v>16</x:v>
      </x:c>
      <x:c r="C10" s="10" t="str">
        <x:v>16条；导出前另检查ID不重复</x:v>
      </x:c>
    </x:row>
    <x:row r="11" ht="48" customHeight="1">
      <x:c r="A11" s="9" t="str">
        <x:v>两个启用奖池概率</x:v>
      </x:c>
      <x:c r="B11" s="9" t="n">
        <x:f>SUM('奖池条目'!J7:J49)</x:f>
        <x:v>2.0000000000000004</x:v>
      </x:c>
      <x:c r="C11" s="9" t="str">
        <x:v>1个混合珍藏组＋1补给组，各基础概率100%</x:v>
      </x:c>
    </x:row>
    <x:row r="12" ht="48" customHeight="1">
      <x:c r="A12" s="10" t="str">
        <x:v>金币模型最低余额</x:v>
      </x:c>
      <x:c r="B12" s="10" t="n">
        <x:f>MIN('90天收支'!L7:L96)</x:f>
        <x:v>1015</x:v>
      </x:c>
      <x:c r="C12" s="10" t="str">
        <x:v>不能低于0；可选购买已做余额判断</x:v>
      </x:c>
    </x:row>
    <x:row r="13" ht="48" customHeight="1">
      <x:c r="A13" s="9" t="str">
        <x:v>期末赠晶最低余额</x:v>
      </x:c>
      <x:c r="B13" s="9" t="n">
        <x:f>MIN('90天收支'!P7:P96)</x:f>
        <x:v>0</x:v>
      </x:c>
      <x:c r="C13" s="9" t="str">
        <x:v>不能为负</x:v>
      </x:c>
    </x:row>
    <x:row r="14" ht="48" customHeight="1">
      <x:c r="A14" s="10" t="str">
        <x:v>付费加速商品数</x:v>
      </x:c>
      <x:c r="B14" s="10" t="n">
        <x:v>5</x:v>
      </x:c>
      <x:c r="C14" s="10" t="str">
        <x:v>旅行券/两档肥/普通油/周转金币；详见加速与活动</x:v>
      </x:c>
    </x:row>
    <x:row r="15" ht="48" customHeight="1">
      <x:c r="A15" s="9" t="str">
        <x:v>首发地区数</x:v>
      </x:c>
      <x:c r="B15" s="9" t="n">
        <x:f>COUNTIFS('旅行地区'!E7:E30,"首发")</x:f>
        <x:v>12</x:v>
      </x:c>
      <x:c r="C15" s="9" t="str">
        <x:v>12</x:v>
      </x:c>
    </x:row>
    <x:row r="16" ht="48" customHeight="1">
      <x:c r="A16" s="10" t="str">
        <x:v>首发家具数</x:v>
      </x:c>
      <x:c r="B16" s="10" t="n">
        <x:f>COUNTIFS('家具目录'!E7:E150,"首发")</x:f>
        <x:v>96</x:v>
      </x:c>
      <x:c r="C16" s="10" t="str">
        <x:v>96</x:v>
      </x:c>
    </x:row>
    <x:row r="17" ht="48" customHeight="1">
      <x:c r="A17" s="9" t="str">
        <x:v>首发外观数</x:v>
      </x:c>
      <x:c r="B17" s="9" t="n">
        <x:f>COUNTIFS('角色外观'!F7:F108,"首发")</x:f>
        <x:v>6</x:v>
      </x:c>
      <x:c r="C17" s="9" t="str">
        <x:v>6</x:v>
      </x:c>
    </x:row>
    <x:row r="18" ht="48" customHeight="1">
      <x:c r="A18" s="10" t="str">
        <x:v>待填生成成本服务数</x:v>
      </x:c>
      <x:c r="B18" s="10" t="n">
        <x:f>COUNTBLANK('动作生成计费'!E7:E11)</x:f>
        <x:v>5</x:v>
      </x:c>
      <x:c r="C18" s="10" t="str">
        <x:v>有可售候选价但成本缺失；需要补齐</x:v>
      </x:c>
    </x:row>
    <x:row r="19" ht="48" customHeight="1">
      <x:c r="A19" s="9" t="str">
        <x:v>预算档位测试</x:v>
      </x:c>
      <x:c r="B19" s="9" t="str">
        <x:v>三档通过，已恢复标准</x:v>
      </x:c>
      <x:c r="C19" s="9" t="str">
        <x:v>三档均回算后恢复标准</x:v>
      </x:c>
    </x:row>
    <x:row r="20" ht="48" customHeight="1">
      <x:c r="A20" s="10" t="str">
        <x:v>生产素材就绪</x:v>
      </x:c>
      <x:c r="B20" s="10" t="str">
        <x:v>待制作</x:v>
      </x:c>
      <x:c r="C20" s="10" t="str">
        <x:v>内容目录完整不代表美术完成</x:v>
      </x:c>
    </x:row>
  </x:sheetData>
  <x:conditionalFormatting sqref="B12:B13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b2a06826754ed0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85" hidden="0" customWidth="1"/>
    <x:col min="3" max="3" width="83" hidden="0" customWidth="1"/>
    <x:col min="4" max="4" width="26" hidden="0" customWidth="1"/>
    <x:col min="5" max="5" width="105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依据与边界</x:v>
      </x:c>
      <x:c r="B2" s="2"/>
      <x:c r="C2" s="2"/>
      <x:c r="D2" s="2"/>
      <x:c r="E2" s="2"/>
    </x:row>
    <x:row r="3">
      <x:c r="A3" s="4" t="str">
        <x:v>2026-09-29 · 正式版规划草案；不是当前线上规则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  <x:row r="6" ht="34" customHeight="1">
      <x:c r="A6" s="8" t="str">
        <x:v>依据</x:v>
      </x:c>
      <x:c r="B6" s="8" t="str">
        <x:v>位置</x:v>
      </x:c>
      <x:c r="C6" s="8" t="str">
        <x:v>采用内容</x:v>
      </x:c>
      <x:c r="D6" s="8" t="str">
        <x:v>性质</x:v>
      </x:c>
      <x:c r="E6" s="8" t="str">
        <x:v>边界</x:v>
      </x:c>
    </x:row>
    <x:row r="7" ht="48" customHeight="1">
      <x:c r="A7" s="9" t="str">
        <x:v>用户本轮要求</x:v>
      </x:c>
      <x:c r="B7" s="9" t="str">
        <x:v>2026-09-29当前会话</x:v>
      </x:c>
      <x:c r="C7" s="9" t="str">
        <x:v>完整主数值规划；不把3地/少量家具当正式版</x:v>
      </x:c>
      <x:c r="D7" s="9" t="str">
        <x:v>最高优先级</x:v>
      </x:c>
      <x:c r="E7" s="9" t="str">
        <x:v>包含五类角色外观、双主货币、珍稀兑换、动作生成</x:v>
      </x:c>
    </x:row>
    <x:row r="8" ht="48" customHeight="1">
      <x:c r="A8" s="10" t="str">
        <x:v>用户付费选择</x:v>
      </x:c>
      <x:c r="B8" s="10" t="str">
        <x:v>2026-09-29异步回复</x:v>
      </x:c>
      <x:c r="C8" s="10" t="str">
        <x:v>外观与动作生成主导，成长可免费完成</x:v>
      </x:c>
      <x:c r="D8" s="10" t="str">
        <x:v>已确认</x:v>
      </x:c>
      <x:c r="E8" s="10" t="str">
        <x:v>最新澄清：允许付费加速旅行成长；混合奖池，碎片定向兑换</x:v>
      </x:c>
    </x:row>
    <x:row r="9" ht="48" customHeight="1">
      <x:c r="A9" s="9" t="str">
        <x:v>当前正式测试规则</x:v>
      </x:c>
      <x:c r="B9" s="9" t="str">
        <x:v>app/src/shared/social-economy.ts</x:v>
      </x:c>
      <x:c r="C9" s="9" t="str">
        <x:v>9基础植物、两档油、混合测试池、3旅行目的地</x:v>
      </x:c>
      <x:c r="D9" s="9" t="str">
        <x:v>事实来源</x:v>
      </x:c>
      <x:c r="E9" s="9" t="str">
        <x:v>测试数值与正式规划区分</x:v>
      </x:c>
    </x:row>
    <x:row r="10" ht="48" customHeight="1">
      <x:c r="A10" s="10" t="str">
        <x:v>当前规则实现</x:v>
      </x:c>
      <x:c r="B10" s="10" t="str">
        <x:v>app/src/main/garden/social-rules.ts</x:v>
      </x:c>
      <x:c r="C10" s="10" t="str">
        <x:v>金色教学、随机继承、扭蛋入库、旅费与地区次数</x:v>
      </x:c>
      <x:c r="D10" s="10" t="str">
        <x:v>事实来源</x:v>
      </x:c>
      <x:c r="E10" s="10" t="str">
        <x:v>沿用权威交易原则，不把测试内容量当目标</x:v>
      </x:c>
    </x:row>
    <x:row r="11" ht="48" customHeight="1">
      <x:c r="A11" s="9" t="str">
        <x:v>生成服务现状</x:v>
      </x:c>
      <x:c r="B11" s="9" t="str">
        <x:v>generation/service.mjs /account</x:v>
      </x:c>
      <x:c r="C11" s="9" t="str">
        <x:v>unlimited:true，未按真实星晶计费</x:v>
      </x:c>
      <x:c r="D11" s="9" t="str">
        <x:v>事实来源</x:v>
      </x:c>
      <x:c r="E11" s="9" t="str">
        <x:v>供应商成本未提供；成本模型留空待测</x:v>
      </x:c>
    </x:row>
    <x:row r="12" ht="48" customHeight="1">
      <x:c r="A12" s="10" t="str">
        <x:v>角色形态约束</x:v>
      </x:c>
      <x:c r="B12" s="10" t="str">
        <x:v>现有播放器＋docs/appearance-preview-2026-09-29.md</x:v>
      </x:c>
      <x:c r="C12" s="10" t="str">
        <x:v>外观采用公共显示层，不要求每角色追加Spine动画</x:v>
      </x:c>
      <x:c r="D12" s="10" t="str">
        <x:v>工程约束</x:v>
      </x:c>
      <x:c r="E12" s="10" t="str">
        <x:v>装配是新功能，不能把摸摸特效等同已完成</x:v>
      </x:c>
    </x:row>
    <x:row r="13" ht="48" customHeight="1">
      <x:c r="A13" s="9" t="str">
        <x:v>历史规划</x:v>
      </x:c>
      <x:c r="B13" s="9" t="str">
        <x:v>docs/garden-room-cultivation-social-plan-v02-2026-09-10.md</x:v>
      </x:c>
      <x:c r="C13" s="9" t="str">
        <x:v>家具→收藏→顶级外观的长期追求结构</x:v>
      </x:c>
      <x:c r="D13" s="9" t="str">
        <x:v>背景资料</x:v>
      </x:c>
      <x:c r="E13" s="9" t="str">
        <x:v>旧六地块、多份产出、材料体系不直接继承</x:v>
      </x:c>
    </x:row>
    <x:row r="14" ht="48" customHeight="1">
      <x:c r="A14" s="10" t="str">
        <x:v>近期试玩说明</x:v>
      </x:c>
      <x:c r="B14" s="10" t="str">
        <x:v>docs/economy-validation-v0.4/</x:v>
      </x:c>
      <x:c r="C14" s="10" t="str">
        <x:v>仅代表已上线测试链路与局部验证</x:v>
      </x:c>
      <x:c r="D14" s="10" t="str">
        <x:v>历史测试</x:v>
      </x:c>
      <x:c r="E14" s="10" t="str">
        <x:v>本工作簿参数不自动替换线上服务</x:v>
      </x:c>
    </x:row>
    <x:row r="15" ht="48" customHeight="1">
      <x:c r="A15" s="9" t="str">
        <x:v>价格与概率</x:v>
      </x:c>
      <x:c r="B15" s="9" t="str">
        <x:v>主数值设计提案</x:v>
      </x:c>
      <x:c r="C15" s="9" t="str">
        <x:v>价格、投放量、时长、目标均为可调设计假设</x:v>
      </x:c>
      <x:c r="D15" s="9" t="str">
        <x:v>尚待真人验证</x:v>
      </x:c>
      <x:c r="E15" s="9" t="str">
        <x:v>不是竞品数据、收入承诺或官方渠道费率</x:v>
      </x:c>
    </x:row>
    <x:row r="16" ht="48" customHeight="1">
      <x:c r="A16" s="10" t="str">
        <x:v>90天模型</x:v>
      </x:c>
      <x:c r="B16" s="10" t="str">
        <x:v>本工作簿参数与收支公式</x:v>
      </x:c>
      <x:c r="C16" s="10" t="str">
        <x:v>用于核对资源能否闭环与目标是否买得起</x:v>
      </x:c>
      <x:c r="D16" s="10" t="str">
        <x:v>预算模型</x:v>
      </x:c>
      <x:c r="E16" s="10" t="str">
        <x:v>不代替真实留存，不含重复外观随机收益</x:v>
      </x:c>
    </x:row>
    <x:row r="17" ht="48" customHeight="1">
      <x:c r="A17" s="9" t="str">
        <x:v>生成成本缺口</x:v>
      </x:c>
      <x:c r="B17" s="9" t="str">
        <x:v>供应商账单/质检成功率/平均重试</x:v>
      </x:c>
      <x:c r="C17" s="9" t="str">
        <x:v>E列未填真实成本，不输出贡献率</x:v>
      </x:c>
      <x:c r="D17" s="9" t="str">
        <x:v>待补数据</x:v>
      </x:c>
      <x:c r="E17" s="9" t="str">
        <x:v>候选价格不是最终商业化售价</x:v>
      </x:c>
    </x:row>
    <x:row r="18" ht="48" customHeight="1">
      <x:c r="A18" s="10" t="str">
        <x:v>美术产能缺口</x:v>
      </x:c>
      <x:c r="B18" s="10" t="str">
        <x:v>待团队填写</x:v>
      </x:c>
      <x:c r="C18" s="10" t="str">
        <x:v>12地区/96家具为范围储备；首发外观压至6件，排期仍待产能</x:v>
      </x:c>
      <x:c r="D18" s="10" t="str">
        <x:v>待排期</x:v>
      </x:c>
      <x:c r="E18" s="10" t="str">
        <x:v>先确认人力产能，再决定发布日历</x:v>
      </x:c>
    </x:row>
    <x:row r="19" ht="48" customHeight="1">
      <x:c r="A19" s="9" t="str">
        <x:v>实现步骤</x:v>
      </x:c>
      <x:c r="B19" s="9" t="str">
        <x:v>开发清单P0/P1/P2</x:v>
      </x:c>
      <x:c r="C19" s="9" t="str">
        <x:v>先账本、目录、装配和免费闭环，再真实付费</x:v>
      </x:c>
      <x:c r="D19" s="9" t="str">
        <x:v>开发计划</x:v>
      </x:c>
      <x:c r="E19" s="9" t="str">
        <x:v>本轮交付Excel与机器可读规划目录；未部署新正式经济</x:v>
      </x:c>
    </x:row>
    <x:row r="20" ht="48" customHeight="1">
      <x:c r="A20" s="10" t="str">
        <x:v>模型编辑</x:v>
      </x:c>
      <x:c r="B20" s="10" t="str">
        <x:v>参数黄色输入格与蓝色数值</x:v>
      </x:c>
      <x:c r="C20" s="10" t="str">
        <x:v>切换D4玩家档位或修改输入后Excel应重算</x:v>
      </x:c>
      <x:c r="D20" s="10" t="str">
        <x:v>使用方法</x:v>
      </x:c>
      <x:c r="E20" s="10" t="str">
        <x:v>公式由Artifact Tool重算和导出；未操作原生Excel应用</x:v>
      </x:c>
    </x:row>
  </x:sheetData>
  <x:pageMargins left="0.7" right="0.7" top="0.75" bottom="0.75" header="0.3" footer="0.3"/>
  <x:tableParts count="1">
    <x:tablePart xmlns:r="http://schemas.openxmlformats.org/officeDocument/2006/relationships" r:id="R1243e7c2d2844528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22" hidden="0" customWidth="1"/>
    <x:col min="4" max="4" width="9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2" t="str">
        <x:v>陪伴月卡 · 数值提案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2026-09-30 · 新增月卡；原90天收支保留免费基线，以下计算月卡增量。未实装或开启收费。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2" customHeight="1">
      <x:c r="A6" s="34" t="str">
        <x:v>项目</x:v>
      </x:c>
      <x:c r="B6" s="34" t="str">
        <x:v>数值 / 规则</x:v>
      </x:c>
      <x:c r="C6" s="34" t="str">
        <x:v>单位 / 性质</x:v>
      </x:c>
      <x:c r="D6" s="34" t="str">
        <x:v>说明</x:v>
      </x:c>
      <x:c r="E6" s="1"/>
      <x:c r="F6" s="1"/>
      <x:c r="G6" s="1"/>
      <x:c r="H6" s="1"/>
      <x:c r="I6" s="1"/>
      <x:c r="J6" s="1"/>
      <x:c r="K6" s="1"/>
      <x:c r="L6" s="1"/>
    </x:row>
    <x:row r="7" ht="51" customHeight="1">
      <x:c r="A7" s="35" t="str">
        <x:v>价格（元）</x:v>
      </x:c>
      <x:c r="B7" s="37" t="n">
        <x:v>30</x:v>
      </x:c>
      <x:c r="C7" s="35" t="str">
        <x:v>可调输入</x:v>
      </x:c>
      <x:c r="D7" s="35" t="str">
        <x:v>首版仅一个档位，避免福利重叠</x:v>
      </x:c>
      <x:c r="E7" s="1"/>
      <x:c r="F7" s="1"/>
      <x:c r="G7" s="1"/>
      <x:c r="H7" s="1"/>
      <x:c r="I7" s="1"/>
      <x:c r="J7" s="1"/>
      <x:c r="K7" s="1"/>
      <x:c r="L7" s="1"/>
    </x:row>
    <x:row r="8" ht="51" customHeight="1">
      <x:c r="A8" s="36" t="str">
        <x:v>有效天数</x:v>
      </x:c>
      <x:c r="B8" s="37" t="n">
        <x:v>30</x:v>
      </x:c>
      <x:c r="C8" s="36" t="str">
        <x:v>固定产品周期</x:v>
      </x:c>
      <x:c r="D8" s="36" t="str">
        <x:v>自然日，购买当天算第1日；跨日规则服务端统一</x:v>
      </x:c>
      <x:c r="E8" s="1"/>
      <x:c r="F8" s="1"/>
      <x:c r="G8" s="1"/>
      <x:c r="H8" s="1"/>
      <x:c r="I8" s="1"/>
      <x:c r="J8" s="1"/>
      <x:c r="K8" s="1"/>
      <x:c r="L8" s="1"/>
    </x:row>
    <x:row r="9" ht="51" customHeight="1">
      <x:c r="A9" s="35" t="str">
        <x:v>每期即领赠晶</x:v>
      </x:c>
      <x:c r="B9" s="37" t="n">
        <x:v>60</x:v>
      </x:c>
      <x:c r="C9" s="35" t="str">
        <x:v>可调输入</x:v>
      </x:c>
      <x:c r="D9" s="35" t="str">
        <x:v>赠送子账；可抽奖、直购、加速，不能支付生成</x:v>
      </x:c>
      <x:c r="E9" s="1"/>
      <x:c r="F9" s="1"/>
      <x:c r="G9" s="1"/>
      <x:c r="H9" s="1"/>
      <x:c r="I9" s="1"/>
      <x:c r="J9" s="1"/>
      <x:c r="K9" s="1"/>
      <x:c r="L9" s="1"/>
    </x:row>
    <x:row r="10" ht="51" customHeight="1">
      <x:c r="A10" s="36" t="str">
        <x:v>每天赠晶</x:v>
      </x:c>
      <x:c r="B10" s="37" t="n">
        <x:v>12</x:v>
      </x:c>
      <x:c r="C10" s="36" t="str">
        <x:v>可调输入</x:v>
      </x:c>
      <x:c r="D10" s="36" t="str">
        <x:v>每天自动入账，离线也到账；登录汇总展示</x:v>
      </x:c>
      <x:c r="E10" s="1"/>
      <x:c r="F10" s="1"/>
      <x:c r="G10" s="1"/>
      <x:c r="H10" s="1"/>
      <x:c r="I10" s="1"/>
      <x:c r="J10" s="1"/>
      <x:c r="K10" s="1"/>
      <x:c r="L10" s="1"/>
    </x:row>
    <x:row r="11" ht="51" customHeight="1">
      <x:c r="A11" s="35" t="str">
        <x:v>每7个有效日旅行券</x:v>
      </x:c>
      <x:c r="B11" s="37" t="n">
        <x:v>1</x:v>
      </x:c>
      <x:c r="C11" s="35" t="str">
        <x:v>可调输入</x:v>
      </x:c>
      <x:c r="D11" s="35" t="str">
        <x:v>每券1小时；每期4次，第7/14/21/28日到账</x:v>
      </x:c>
      <x:c r="E11" s="1"/>
      <x:c r="F11" s="1"/>
      <x:c r="G11" s="1"/>
      <x:c r="H11" s="1"/>
      <x:c r="I11" s="1"/>
      <x:c r="J11" s="1"/>
      <x:c r="K11" s="1"/>
      <x:c r="L11" s="1"/>
    </x:row>
    <x:row r="12" ht="51" customHeight="1">
      <x:c r="A12" s="36" t="str">
        <x:v>连续购买期数</x:v>
      </x:c>
      <x:c r="B12" s="37" t="n">
        <x:v>3</x:v>
      </x:c>
      <x:c r="C12" s="36" t="str">
        <x:v>0—3整数</x:v>
      </x:c>
      <x:c r="D12" s="36" t="str">
        <x:v>0=免费，1=30天，2=60天，3=90天；仅模型选择</x:v>
      </x:c>
      <x:c r="E12" s="1"/>
      <x:c r="F12" s="1"/>
      <x:c r="G12" s="1"/>
      <x:c r="H12" s="1"/>
      <x:c r="I12" s="1"/>
      <x:c r="J12" s="1"/>
      <x:c r="K12" s="1"/>
      <x:c r="L12" s="1"/>
    </x:row>
    <x:row r="13" ht="51" customHeight="1">
      <x:c r="A13" s="35" t="str">
        <x:v>每期赠晶合计</x:v>
      </x:c>
      <x:c r="B13" s="35" t="n">
        <x:f>B9+B10*B8</x:f>
        <x:v>420</x:v>
      </x:c>
      <x:c r="C13" s="35" t="str">
        <x:v>星晶</x:v>
      </x:c>
      <x:c r="D13" s="35" t="str">
        <x:v>即领＋每日×30；不等同人民币现金价值</x:v>
      </x:c>
      <x:c r="E13" s="1"/>
      <x:c r="F13" s="1"/>
      <x:c r="G13" s="1"/>
      <x:c r="H13" s="1"/>
      <x:c r="I13" s="1"/>
      <x:c r="J13" s="1"/>
      <x:c r="K13" s="1"/>
      <x:c r="L13" s="1"/>
    </x:row>
    <x:row r="14" ht="51" customHeight="1">
      <x:c r="A14" s="36" t="str">
        <x:v>每期额外完整抽数</x:v>
      </x:c>
      <x:c r="B14" s="36" t="n">
        <x:f>INT(B13/'参数'!$D$61)</x:f>
        <x:v>7</x:v>
      </x:c>
      <x:c r="C14" s="36" t="str">
        <x:v>抽</x:v>
      </x:c>
      <x:c r="D14" s="36" t="str">
        <x:v>假设所有月卡星晶都用于抽奖；直购或加速会减少抽数</x:v>
      </x:c>
      <x:c r="E14" s="1"/>
      <x:c r="F14" s="1"/>
      <x:c r="G14" s="1"/>
      <x:c r="H14" s="1"/>
      <x:c r="I14" s="1"/>
      <x:c r="J14" s="1"/>
      <x:c r="K14" s="1"/>
      <x:c r="L14" s="1"/>
    </x:row>
    <x:row r="15" ht="51" customHeight="1">
      <x:c r="A15" s="35" t="str">
        <x:v>每期旅行减时额度</x:v>
      </x:c>
      <x:c r="B15" s="35" t="n">
        <x:f>INT(B8/7)*B11</x:f>
        <x:v>4</x:v>
      </x:c>
      <x:c r="C15" s="35" t="str">
        <x:v>小时</x:v>
      </x:c>
      <x:c r="D15" s="35" t="str">
        <x:v>赠券可积攒；单次旅行仍受75%减时上限约束</x:v>
      </x:c>
      <x:c r="E15" s="1"/>
      <x:c r="F15" s="1"/>
      <x:c r="G15" s="1"/>
      <x:c r="H15" s="1"/>
      <x:c r="I15" s="1"/>
      <x:c r="J15" s="1"/>
      <x:c r="K15" s="1"/>
      <x:c r="L15" s="1"/>
    </x:row>
    <x:row r="16" ht="51" customHeight="1">
      <x:c r="A16" s="36" t="str">
        <x:v>每期折算星晶单价</x:v>
      </x:c>
      <x:c r="B16" s="38" t="n">
        <x:f>B7/B13</x:f>
        <x:v>0.07142857142857142</x:v>
      </x:c>
      <x:c r="C16" s="36" t="str">
        <x:v>元/星晶</x:v>
      </x:c>
      <x:c r="D16" s="36" t="str">
        <x:v>分摊价仅用于对比；不用于生成成本定价</x:v>
      </x:c>
      <x:c r="E16" s="1"/>
      <x:c r="F16" s="1"/>
      <x:c r="G16" s="1"/>
      <x:c r="H16" s="1"/>
      <x:c r="I16" s="1"/>
      <x:c r="J16" s="1"/>
      <x:c r="K16" s="1"/>
      <x:c r="L16" s="1"/>
    </x:row>
    <x:row r="17" ht="51" customHeight="1">
      <x:c r="A17" s="35" t="str">
        <x:v>D30累计抽数</x:v>
      </x:c>
      <x:c r="B17" s="35" t="n">
        <x:f>H61</x:f>
        <x:v>28</x:v>
      </x:c>
      <x:c r="C17" s="35" t="str">
        <x:v>抽</x:v>
      </x:c>
      <x:c r="D17" s="35" t="str">
        <x:v>原免费基线＋月卡；保留未满一抽余额</x:v>
      </x:c>
      <x:c r="E17" s="1"/>
      <x:c r="F17" s="1"/>
      <x:c r="G17" s="1"/>
      <x:c r="H17" s="1"/>
      <x:c r="I17" s="1"/>
      <x:c r="J17" s="1"/>
      <x:c r="K17" s="1"/>
      <x:c r="L17" s="1"/>
    </x:row>
    <x:row r="18" ht="51" customHeight="1">
      <x:c r="A18" s="36" t="str">
        <x:v>D60累计抽数</x:v>
      </x:c>
      <x:c r="B18" s="36" t="n">
        <x:f>H91</x:f>
        <x:v>44</x:v>
      </x:c>
      <x:c r="C18" s="36" t="str">
        <x:v>抽</x:v>
      </x:c>
      <x:c r="D18" s="36" t="str">
        <x:v>不是每月充值预算，不与充值收入混算</x:v>
      </x:c>
      <x:c r="E18" s="1"/>
      <x:c r="F18" s="1"/>
      <x:c r="G18" s="1"/>
      <x:c r="H18" s="1"/>
      <x:c r="I18" s="1"/>
      <x:c r="J18" s="1"/>
      <x:c r="K18" s="1"/>
      <x:c r="L18" s="1"/>
    </x:row>
    <x:row r="19" ht="51" customHeight="1">
      <x:c r="A19" s="35" t="str">
        <x:v>D90累计抽数</x:v>
      </x:c>
      <x:c r="B19" s="35" t="n">
        <x:f>H121</x:f>
        <x:v>60</x:v>
      </x:c>
      <x:c r="C19" s="35" t="str">
        <x:v>抽</x:v>
      </x:c>
      <x:c r="D19" s="35" t="str">
        <x:v>全部投入同一常驻池；跨池不能合并保底</x:v>
      </x:c>
      <x:c r="E19" s="1"/>
      <x:c r="F19" s="1"/>
      <x:c r="G19" s="1"/>
      <x:c r="H19" s="1"/>
      <x:c r="I19" s="1"/>
      <x:c r="J19" s="1"/>
      <x:c r="K19" s="1"/>
      <x:c r="L19" s="1"/>
    </x:row>
    <x:row r="20" ht="51" customHeight="1">
      <x:c r="A20" s="36" t="str">
        <x:v>D90可积累碎片</x:v>
      </x:c>
      <x:c r="B20" s="36" t="n">
        <x:f>I121</x:f>
        <x:v>190</x:v>
      </x:c>
      <x:c r="C20" s="36" t="str">
        <x:v>碎片</x:v>
      </x:c>
      <x:c r="D20" s="36" t="str">
        <x:v>不提前兑换；不含抽中重复外观的额外碎片</x:v>
      </x:c>
      <x:c r="E20" s="1"/>
      <x:c r="F20" s="1"/>
      <x:c r="G20" s="1"/>
      <x:c r="H20" s="1"/>
      <x:c r="I20" s="1"/>
      <x:c r="J20" s="1"/>
      <x:c r="K20" s="1"/>
      <x:c r="L20" s="1"/>
    </x:row>
    <x:row r="21" ht="51" customHeight="1">
      <x:c r="A21" s="35" t="str">
        <x:v>指定SSR首次可兑日</x:v>
      </x:c>
      <x:c r="B21" s="35" t="n">
        <x:f>IF(COUNTIFS(J32:J121,1)=0,"90天内未达到",MATCH(1,J32:J121,0))</x:f>
        <x:v>70</x:v>
      </x:c>
      <x:c r="C21" s="35" t="str">
        <x:v>天</x:v>
      </x:c>
      <x:c r="D21" s="35" t="str">
        <x:v>到160碎片；没有达到则显示90天内未达到</x:v>
      </x:c>
      <x:c r="E21" s="1"/>
      <x:c r="F21" s="1"/>
      <x:c r="G21" s="1"/>
      <x:c r="H21" s="1"/>
      <x:c r="I21" s="1"/>
      <x:c r="J21" s="1"/>
      <x:c r="K21" s="1"/>
      <x:c r="L21" s="1"/>
    </x:row>
    <x:row r="22" ht="51" customHeight="1">
      <x:c r="A22" s="36" t="str">
        <x:v>90天月卡支出</x:v>
      </x:c>
      <x:c r="B22" s="36" t="n">
        <x:f>B7*B12</x:f>
        <x:v>90</x:v>
      </x:c>
      <x:c r="C22" s="36" t="str">
        <x:v>元</x:v>
      </x:c>
      <x:c r="D22" s="36" t="str">
        <x:v>购买期数×价格；无自动续费默认授权</x:v>
      </x:c>
      <x:c r="E22" s="1"/>
      <x:c r="F22" s="1"/>
      <x:c r="G22" s="1"/>
      <x:c r="H22" s="1"/>
      <x:c r="I22" s="1"/>
      <x:c r="J22" s="1"/>
      <x:c r="K22" s="1"/>
      <x:c r="L22" s="1"/>
    </x:row>
    <x:row r="23" ht="51" customHeight="1">
      <x:c r="A23" s="35" t="str">
        <x:v>D90至少一个SSR下界</x:v>
      </x:c>
      <x:c r="B23" s="39" t="n">
        <x:f>IF(B19&gt;='参数'!$D$76,1,1-(1-'参数'!$D$75)^B19)</x:f>
        <x:v>1</x:v>
      </x:c>
      <x:c r="C23" s="35" t="str">
        <x:v>概率</x:v>
      </x:c>
      <x:c r="D23" s="35" t="str">
        <x:v>不足60抽用基础率保守下界；达到60抽必得</x:v>
      </x:c>
      <x:c r="E23" s="1"/>
      <x:c r="F23" s="1"/>
      <x:c r="G23" s="1"/>
      <x:c r="H23" s="1"/>
      <x:c r="I23" s="1"/>
      <x:c r="J23" s="1"/>
      <x:c r="K23" s="1"/>
      <x:c r="L23" s="1"/>
    </x:row>
    <x:row r="24" ht="51" customHeight="1">
      <x:c r="A24" s="36" t="str">
        <x:v>定位</x:v>
      </x:c>
      <x:c r="B24" s="36" t="str">
        <x:v>稳定的小额付费</x:v>
      </x:c>
      <x:c r="C24" s="36" t="str">
        <x:v>体验原则</x:v>
      </x:c>
      <x:c r="D24" s="36" t="str">
        <x:v>每天有积累，约三个月推进一个大奖；不承诺每月送外观</x:v>
      </x:c>
      <x:c r="E24" s="1"/>
      <x:c r="F24" s="1"/>
      <x:c r="G24" s="1"/>
      <x:c r="H24" s="1"/>
      <x:c r="I24" s="1"/>
      <x:c r="J24" s="1"/>
      <x:c r="K24" s="1"/>
      <x:c r="L24" s="1"/>
    </x:row>
    <x:row r="25" ht="51" customHeight="1">
      <x:c r="A25" s="35" t="str">
        <x:v>权益边界</x:v>
      </x:c>
      <x:c r="B25" s="35" t="str">
        <x:v>保留免费来源</x:v>
      </x:c>
      <x:c r="C25" s="35" t="str">
        <x:v>规则</x:v>
      </x:c>
      <x:c r="D25" s="35" t="str">
        <x:v>不送指定基因、不提升掉率、不叠天气概率、不直接送碎片</x:v>
      </x:c>
      <x:c r="E25" s="1"/>
      <x:c r="F25" s="1"/>
      <x:c r="G25" s="1"/>
      <x:c r="H25" s="1"/>
      <x:c r="I25" s="1"/>
      <x:c r="J25" s="1"/>
      <x:c r="K25" s="1"/>
      <x:c r="L25" s="1"/>
    </x:row>
    <x:row r="26" ht="51" customHeight="1">
      <x:c r="A26" s="36" t="str">
        <x:v>续购与退款</x:v>
      </x:c>
      <x:c r="B26" s="36" t="str">
        <x:v>叠加时长，不叠日产</x:v>
      </x:c>
      <x:c r="C26" s="36" t="str">
        <x:v>待开发</x:v>
      </x:c>
      <x:c r="D26" s="36" t="str">
        <x:v>重复购买顺延；下一期开始才发该期即领；退款按订单权益流水处理</x:v>
      </x:c>
      <x:c r="E26" s="1"/>
      <x:c r="F26" s="1"/>
      <x:c r="G26" s="1"/>
      <x:c r="H26" s="1"/>
      <x:c r="I26" s="1"/>
      <x:c r="J26" s="1"/>
      <x:c r="K26" s="1"/>
      <x:c r="L26" s="1"/>
    </x:row>
    <x:row r="27" ht="51" customHeight="1">
      <x:c r="A27" s="35" t="str">
        <x:v>投放与联动</x:v>
      </x:c>
      <x:c r="B27" s="35" t="str">
        <x:v>商店商品PASS_30</x:v>
      </x:c>
      <x:c r="C27" s="35" t="str">
        <x:v>待开发</x:v>
      </x:c>
      <x:c r="D27" s="35" t="str">
        <x:v>新手首次完成旅行后露出；常驻商店入口；可用赠晶消费处均支持</x:v>
      </x:c>
      <x:c r="E27" s="1"/>
      <x:c r="F27" s="1"/>
      <x:c r="G27" s="1"/>
      <x:c r="H27" s="1"/>
      <x:c r="I27" s="1"/>
      <x:c r="J27" s="1"/>
      <x:c r="K27" s="1"/>
      <x:c r="L27" s="1"/>
    </x:row>
    <x:row r="28" ht="51" customHeight="1">
      <x:c r="A28" s="36" t="str">
        <x:v>材料影响</x:v>
      </x:c>
      <x:c r="B28" s="36" t="str">
        <x:v>抽奖材料未估值</x:v>
      </x:c>
      <x:c r="C28" s="36" t="str">
        <x:v>测算边界</x:v>
      </x:c>
      <x:c r="D28" s="36" t="str">
        <x:v>当前只算抽数/碎片和旅行券；额外种子肥料会进一步填平养成缺口</x:v>
      </x:c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36" customHeight="1">
      <x:c r="A31" s="40" t="str">
        <x:v>天数</x:v>
      </x:c>
      <x:c r="B31" s="40" t="str">
        <x:v>月卡有效</x:v>
      </x:c>
      <x:c r="C31" s="40" t="str">
        <x:v>本期即领赠晶</x:v>
      </x:c>
      <x:c r="D31" s="40" t="str">
        <x:v>每日赠晶</x:v>
      </x:c>
      <x:c r="E31" s="40" t="str">
        <x:v>当日旅行券</x:v>
      </x:c>
      <x:c r="F31" s="40" t="str">
        <x:v>累计月卡赠晶</x:v>
      </x:c>
      <x:c r="G31" s="40" t="str">
        <x:v>额外完整抽数</x:v>
      </x:c>
      <x:c r="H31" s="40" t="str">
        <x:v>累计总抽数</x:v>
      </x:c>
      <x:c r="I31" s="40" t="str">
        <x:v>可攒碎片</x:v>
      </x:c>
      <x:c r="J31" s="40" t="str">
        <x:v>160碎片达成</x:v>
      </x:c>
      <x:c r="K31" s="40" t="str">
        <x:v>累计月卡支出</x:v>
      </x:c>
      <x:c r="L31" s="40" t="str">
        <x:v>累计旅行券</x:v>
      </x:c>
    </x:row>
    <x:row r="32">
      <x:c r="A32" s="1" t="n">
        <x:v>1</x:v>
      </x:c>
      <x:c r="B32" s="1" t="n">
        <x:f>IF(A32&lt;=$B$8*$B$12,1,0)</x:f>
        <x:v>1</x:v>
      </x:c>
      <x:c r="C32" s="1" t="n">
        <x:f>IF(AND(B32=1,MOD(A32-1,$B$8)=0),$B$9,0)</x:f>
        <x:v>60</x:v>
      </x:c>
      <x:c r="D32" s="1" t="n">
        <x:f>B32*$B$10</x:f>
        <x:v>12</x:v>
      </x:c>
      <x:c r="E32" s="1" t="n">
        <x:f>IF(AND(B32=1,MOD(MOD(A32-1,$B$8)+1,7)=0),$B$11,0)</x:f>
        <x:v>0</x:v>
      </x:c>
      <x:c r="F32" s="1" t="n">
        <x:f>SUM($C$32:D32)</x:f>
        <x:v>72</x:v>
      </x:c>
      <x:c r="G32" s="1" t="n">
        <x:f>INT(F32/'参数'!$D$61)</x:f>
        <x:v>1</x:v>
      </x:c>
      <x:c r="H32" s="1" t="n">
        <x:f>'90天收支'!S7+G32</x:f>
        <x:v>8</x:v>
      </x:c>
      <x:c r="I32" s="1" t="n">
        <x:f>SUM('90天收支'!$T$7:T7)+G32*2</x:f>
        <x:v>16</x:v>
      </x:c>
      <x:c r="J32" s="1" t="n">
        <x:f>IF(I32&gt;=160,1,0)</x:f>
        <x:v>0</x:v>
      </x:c>
      <x:c r="K32" s="1" t="n">
        <x:f>MIN($B$12,INT((A32-1)/$B$8)+1)*$B$7</x:f>
        <x:v>30</x:v>
      </x:c>
      <x:c r="L32" s="1" t="n">
        <x:f>SUM($E$32:E32)</x:f>
        <x:v>0</x:v>
      </x:c>
    </x:row>
    <x:row r="33">
      <x:c r="A33" s="41" t="n">
        <x:v>2</x:v>
      </x:c>
      <x:c r="B33" s="41" t="n">
        <x:f>IF(A33&lt;=$B$8*$B$12,1,0)</x:f>
        <x:v>1</x:v>
      </x:c>
      <x:c r="C33" s="41" t="n">
        <x:f>IF(AND(B33=1,MOD(A33-1,$B$8)=0),$B$9,0)</x:f>
        <x:v>0</x:v>
      </x:c>
      <x:c r="D33" s="41" t="n">
        <x:f>B33*$B$10</x:f>
        <x:v>12</x:v>
      </x:c>
      <x:c r="E33" s="41" t="n">
        <x:f>IF(AND(B33=1,MOD(MOD(A33-1,$B$8)+1,7)=0),$B$11,0)</x:f>
        <x:v>0</x:v>
      </x:c>
      <x:c r="F33" s="41" t="n">
        <x:f>SUM($C$32:D33)</x:f>
        <x:v>84</x:v>
      </x:c>
      <x:c r="G33" s="41" t="n">
        <x:f>INT(F33/'参数'!$D$61)</x:f>
        <x:v>1</x:v>
      </x:c>
      <x:c r="H33" s="41" t="n">
        <x:f>'90天收支'!S8+G33</x:f>
        <x:v>8</x:v>
      </x:c>
      <x:c r="I33" s="41" t="n">
        <x:f>SUM('90天收支'!$T$7:T8)+G33*2</x:f>
        <x:v>16</x:v>
      </x:c>
      <x:c r="J33" s="41" t="n">
        <x:f>IF(I33&gt;=160,1,0)</x:f>
        <x:v>0</x:v>
      </x:c>
      <x:c r="K33" s="41" t="n">
        <x:f>MIN($B$12,INT((A33-1)/$B$8)+1)*$B$7</x:f>
        <x:v>30</x:v>
      </x:c>
      <x:c r="L33" s="41" t="n">
        <x:f>SUM($E$32:E33)</x:f>
        <x:v>0</x:v>
      </x:c>
    </x:row>
    <x:row r="34">
      <x:c r="A34" s="1" t="n">
        <x:v>3</x:v>
      </x:c>
      <x:c r="B34" s="1" t="n">
        <x:f>IF(A34&lt;=$B$8*$B$12,1,0)</x:f>
        <x:v>1</x:v>
      </x:c>
      <x:c r="C34" s="1" t="n">
        <x:f>IF(AND(B34=1,MOD(A34-1,$B$8)=0),$B$9,0)</x:f>
        <x:v>0</x:v>
      </x:c>
      <x:c r="D34" s="1" t="n">
        <x:f>B34*$B$10</x:f>
        <x:v>12</x:v>
      </x:c>
      <x:c r="E34" s="1" t="n">
        <x:f>IF(AND(B34=1,MOD(MOD(A34-1,$B$8)+1,7)=0),$B$11,0)</x:f>
        <x:v>0</x:v>
      </x:c>
      <x:c r="F34" s="1" t="n">
        <x:f>SUM($C$32:D34)</x:f>
        <x:v>96</x:v>
      </x:c>
      <x:c r="G34" s="1" t="n">
        <x:f>INT(F34/'参数'!$D$61)</x:f>
        <x:v>1</x:v>
      </x:c>
      <x:c r="H34" s="1" t="n">
        <x:f>'90天收支'!S9+G34</x:f>
        <x:v>8</x:v>
      </x:c>
      <x:c r="I34" s="1" t="n">
        <x:f>SUM('90天收支'!$T$7:T9)+G34*2</x:f>
        <x:v>16</x:v>
      </x:c>
      <x:c r="J34" s="1" t="n">
        <x:f>IF(I34&gt;=160,1,0)</x:f>
        <x:v>0</x:v>
      </x:c>
      <x:c r="K34" s="1" t="n">
        <x:f>MIN($B$12,INT((A34-1)/$B$8)+1)*$B$7</x:f>
        <x:v>30</x:v>
      </x:c>
      <x:c r="L34" s="1" t="n">
        <x:f>SUM($E$32:E34)</x:f>
        <x:v>0</x:v>
      </x:c>
    </x:row>
    <x:row r="35">
      <x:c r="A35" s="41" t="n">
        <x:v>4</x:v>
      </x:c>
      <x:c r="B35" s="41" t="n">
        <x:f>IF(A35&lt;=$B$8*$B$12,1,0)</x:f>
        <x:v>1</x:v>
      </x:c>
      <x:c r="C35" s="41" t="n">
        <x:f>IF(AND(B35=1,MOD(A35-1,$B$8)=0),$B$9,0)</x:f>
        <x:v>0</x:v>
      </x:c>
      <x:c r="D35" s="41" t="n">
        <x:f>B35*$B$10</x:f>
        <x:v>12</x:v>
      </x:c>
      <x:c r="E35" s="41" t="n">
        <x:f>IF(AND(B35=1,MOD(MOD(A35-1,$B$8)+1,7)=0),$B$11,0)</x:f>
        <x:v>0</x:v>
      </x:c>
      <x:c r="F35" s="41" t="n">
        <x:f>SUM($C$32:D35)</x:f>
        <x:v>108</x:v>
      </x:c>
      <x:c r="G35" s="41" t="n">
        <x:f>INT(F35/'参数'!$D$61)</x:f>
        <x:v>1</x:v>
      </x:c>
      <x:c r="H35" s="41" t="n">
        <x:f>'90天收支'!S10+G35</x:f>
        <x:v>8</x:v>
      </x:c>
      <x:c r="I35" s="41" t="n">
        <x:f>SUM('90天收支'!$T$7:T10)+G35*2</x:f>
        <x:v>16</x:v>
      </x:c>
      <x:c r="J35" s="41" t="n">
        <x:f>IF(I35&gt;=160,1,0)</x:f>
        <x:v>0</x:v>
      </x:c>
      <x:c r="K35" s="41" t="n">
        <x:f>MIN($B$12,INT((A35-1)/$B$8)+1)*$B$7</x:f>
        <x:v>30</x:v>
      </x:c>
      <x:c r="L35" s="41" t="n">
        <x:f>SUM($E$32:E35)</x:f>
        <x:v>0</x:v>
      </x:c>
    </x:row>
    <x:row r="36">
      <x:c r="A36" s="1" t="n">
        <x:v>5</x:v>
      </x:c>
      <x:c r="B36" s="1" t="n">
        <x:f>IF(A36&lt;=$B$8*$B$12,1,0)</x:f>
        <x:v>1</x:v>
      </x:c>
      <x:c r="C36" s="1" t="n">
        <x:f>IF(AND(B36=1,MOD(A36-1,$B$8)=0),$B$9,0)</x:f>
        <x:v>0</x:v>
      </x:c>
      <x:c r="D36" s="1" t="n">
        <x:f>B36*$B$10</x:f>
        <x:v>12</x:v>
      </x:c>
      <x:c r="E36" s="1" t="n">
        <x:f>IF(AND(B36=1,MOD(MOD(A36-1,$B$8)+1,7)=0),$B$11,0)</x:f>
        <x:v>0</x:v>
      </x:c>
      <x:c r="F36" s="1" t="n">
        <x:f>SUM($C$32:D36)</x:f>
        <x:v>120</x:v>
      </x:c>
      <x:c r="G36" s="1" t="n">
        <x:f>INT(F36/'参数'!$D$61)</x:f>
        <x:v>2</x:v>
      </x:c>
      <x:c r="H36" s="1" t="n">
        <x:f>'90天收支'!S11+G36</x:f>
        <x:v>9</x:v>
      </x:c>
      <x:c r="I36" s="1" t="n">
        <x:f>SUM('90天收支'!$T$7:T11)+G36*2</x:f>
        <x:v>18</x:v>
      </x:c>
      <x:c r="J36" s="1" t="n">
        <x:f>IF(I36&gt;=160,1,0)</x:f>
        <x:v>0</x:v>
      </x:c>
      <x:c r="K36" s="1" t="n">
        <x:f>MIN($B$12,INT((A36-1)/$B$8)+1)*$B$7</x:f>
        <x:v>30</x:v>
      </x:c>
      <x:c r="L36" s="1" t="n">
        <x:f>SUM($E$32:E36)</x:f>
        <x:v>0</x:v>
      </x:c>
    </x:row>
    <x:row r="37">
      <x:c r="A37" s="41" t="n">
        <x:v>6</x:v>
      </x:c>
      <x:c r="B37" s="41" t="n">
        <x:f>IF(A37&lt;=$B$8*$B$12,1,0)</x:f>
        <x:v>1</x:v>
      </x:c>
      <x:c r="C37" s="41" t="n">
        <x:f>IF(AND(B37=1,MOD(A37-1,$B$8)=0),$B$9,0)</x:f>
        <x:v>0</x:v>
      </x:c>
      <x:c r="D37" s="41" t="n">
        <x:f>B37*$B$10</x:f>
        <x:v>12</x:v>
      </x:c>
      <x:c r="E37" s="41" t="n">
        <x:f>IF(AND(B37=1,MOD(MOD(A37-1,$B$8)+1,7)=0),$B$11,0)</x:f>
        <x:v>0</x:v>
      </x:c>
      <x:c r="F37" s="41" t="n">
        <x:f>SUM($C$32:D37)</x:f>
        <x:v>132</x:v>
      </x:c>
      <x:c r="G37" s="41" t="n">
        <x:f>INT(F37/'参数'!$D$61)</x:f>
        <x:v>2</x:v>
      </x:c>
      <x:c r="H37" s="41" t="n">
        <x:f>'90天收支'!S12+G37</x:f>
        <x:v>9</x:v>
      </x:c>
      <x:c r="I37" s="41" t="n">
        <x:f>SUM('90天收支'!$T$7:T12)+G37*2</x:f>
        <x:v>18</x:v>
      </x:c>
      <x:c r="J37" s="41" t="n">
        <x:f>IF(I37&gt;=160,1,0)</x:f>
        <x:v>0</x:v>
      </x:c>
      <x:c r="K37" s="41" t="n">
        <x:f>MIN($B$12,INT((A37-1)/$B$8)+1)*$B$7</x:f>
        <x:v>30</x:v>
      </x:c>
      <x:c r="L37" s="41" t="n">
        <x:f>SUM($E$32:E37)</x:f>
        <x:v>0</x:v>
      </x:c>
    </x:row>
    <x:row r="38">
      <x:c r="A38" s="1" t="n">
        <x:v>7</x:v>
      </x:c>
      <x:c r="B38" s="1" t="n">
        <x:f>IF(A38&lt;=$B$8*$B$12,1,0)</x:f>
        <x:v>1</x:v>
      </x:c>
      <x:c r="C38" s="1" t="n">
        <x:f>IF(AND(B38=1,MOD(A38-1,$B$8)=0),$B$9,0)</x:f>
        <x:v>0</x:v>
      </x:c>
      <x:c r="D38" s="1" t="n">
        <x:f>B38*$B$10</x:f>
        <x:v>12</x:v>
      </x:c>
      <x:c r="E38" s="1" t="n">
        <x:f>IF(AND(B38=1,MOD(MOD(A38-1,$B$8)+1,7)=0),$B$11,0)</x:f>
        <x:v>1</x:v>
      </x:c>
      <x:c r="F38" s="1" t="n">
        <x:f>SUM($C$32:D38)</x:f>
        <x:v>144</x:v>
      </x:c>
      <x:c r="G38" s="1" t="n">
        <x:f>INT(F38/'参数'!$D$61)</x:f>
        <x:v>2</x:v>
      </x:c>
      <x:c r="H38" s="1" t="n">
        <x:f>'90天收支'!S13+G38</x:f>
        <x:v>16</x:v>
      </x:c>
      <x:c r="I38" s="1" t="n">
        <x:f>SUM('90天收支'!$T$7:T13)+G38*2</x:f>
        <x:v>47</x:v>
      </x:c>
      <x:c r="J38" s="1" t="n">
        <x:f>IF(I38&gt;=160,1,0)</x:f>
        <x:v>0</x:v>
      </x:c>
      <x:c r="K38" s="1" t="n">
        <x:f>MIN($B$12,INT((A38-1)/$B$8)+1)*$B$7</x:f>
        <x:v>30</x:v>
      </x:c>
      <x:c r="L38" s="1" t="n">
        <x:f>SUM($E$32:E38)</x:f>
        <x:v>1</x:v>
      </x:c>
    </x:row>
    <x:row r="39">
      <x:c r="A39" s="41" t="n">
        <x:v>8</x:v>
      </x:c>
      <x:c r="B39" s="41" t="n">
        <x:f>IF(A39&lt;=$B$8*$B$12,1,0)</x:f>
        <x:v>1</x:v>
      </x:c>
      <x:c r="C39" s="41" t="n">
        <x:f>IF(AND(B39=1,MOD(A39-1,$B$8)=0),$B$9,0)</x:f>
        <x:v>0</x:v>
      </x:c>
      <x:c r="D39" s="41" t="n">
        <x:f>B39*$B$10</x:f>
        <x:v>12</x:v>
      </x:c>
      <x:c r="E39" s="41" t="n">
        <x:f>IF(AND(B39=1,MOD(MOD(A39-1,$B$8)+1,7)=0),$B$11,0)</x:f>
        <x:v>0</x:v>
      </x:c>
      <x:c r="F39" s="41" t="n">
        <x:f>SUM($C$32:D39)</x:f>
        <x:v>156</x:v>
      </x:c>
      <x:c r="G39" s="41" t="n">
        <x:f>INT(F39/'参数'!$D$61)</x:f>
        <x:v>2</x:v>
      </x:c>
      <x:c r="H39" s="41" t="n">
        <x:f>'90天收支'!S14+G39</x:f>
        <x:v>16</x:v>
      </x:c>
      <x:c r="I39" s="41" t="n">
        <x:f>SUM('90天收支'!$T$7:T14)+G39*2</x:f>
        <x:v>47</x:v>
      </x:c>
      <x:c r="J39" s="41" t="n">
        <x:f>IF(I39&gt;=160,1,0)</x:f>
        <x:v>0</x:v>
      </x:c>
      <x:c r="K39" s="41" t="n">
        <x:f>MIN($B$12,INT((A39-1)/$B$8)+1)*$B$7</x:f>
        <x:v>30</x:v>
      </x:c>
      <x:c r="L39" s="41" t="n">
        <x:f>SUM($E$32:E39)</x:f>
        <x:v>1</x:v>
      </x:c>
    </x:row>
    <x:row r="40">
      <x:c r="A40" s="1" t="n">
        <x:v>9</x:v>
      </x:c>
      <x:c r="B40" s="1" t="n">
        <x:f>IF(A40&lt;=$B$8*$B$12,1,0)</x:f>
        <x:v>1</x:v>
      </x:c>
      <x:c r="C40" s="1" t="n">
        <x:f>IF(AND(B40=1,MOD(A40-1,$B$8)=0),$B$9,0)</x:f>
        <x:v>0</x:v>
      </x:c>
      <x:c r="D40" s="1" t="n">
        <x:f>B40*$B$10</x:f>
        <x:v>12</x:v>
      </x:c>
      <x:c r="E40" s="1" t="n">
        <x:f>IF(AND(B40=1,MOD(MOD(A40-1,$B$8)+1,7)=0),$B$11,0)</x:f>
        <x:v>0</x:v>
      </x:c>
      <x:c r="F40" s="1" t="n">
        <x:f>SUM($C$32:D40)</x:f>
        <x:v>168</x:v>
      </x:c>
      <x:c r="G40" s="1" t="n">
        <x:f>INT(F40/'参数'!$D$61)</x:f>
        <x:v>2</x:v>
      </x:c>
      <x:c r="H40" s="1" t="n">
        <x:f>'90天收支'!S15+G40</x:f>
        <x:v>16</x:v>
      </x:c>
      <x:c r="I40" s="1" t="n">
        <x:f>SUM('90天收支'!$T$7:T15)+G40*2</x:f>
        <x:v>47</x:v>
      </x:c>
      <x:c r="J40" s="1" t="n">
        <x:f>IF(I40&gt;=160,1,0)</x:f>
        <x:v>0</x:v>
      </x:c>
      <x:c r="K40" s="1" t="n">
        <x:f>MIN($B$12,INT((A40-1)/$B$8)+1)*$B$7</x:f>
        <x:v>30</x:v>
      </x:c>
      <x:c r="L40" s="1" t="n">
        <x:f>SUM($E$32:E40)</x:f>
        <x:v>1</x:v>
      </x:c>
    </x:row>
    <x:row r="41">
      <x:c r="A41" s="41" t="n">
        <x:v>10</x:v>
      </x:c>
      <x:c r="B41" s="41" t="n">
        <x:f>IF(A41&lt;=$B$8*$B$12,1,0)</x:f>
        <x:v>1</x:v>
      </x:c>
      <x:c r="C41" s="41" t="n">
        <x:f>IF(AND(B41=1,MOD(A41-1,$B$8)=0),$B$9,0)</x:f>
        <x:v>0</x:v>
      </x:c>
      <x:c r="D41" s="41" t="n">
        <x:f>B41*$B$10</x:f>
        <x:v>12</x:v>
      </x:c>
      <x:c r="E41" s="41" t="n">
        <x:f>IF(AND(B41=1,MOD(MOD(A41-1,$B$8)+1,7)=0),$B$11,0)</x:f>
        <x:v>0</x:v>
      </x:c>
      <x:c r="F41" s="41" t="n">
        <x:f>SUM($C$32:D41)</x:f>
        <x:v>180</x:v>
      </x:c>
      <x:c r="G41" s="41" t="n">
        <x:f>INT(F41/'参数'!$D$61)</x:f>
        <x:v>3</x:v>
      </x:c>
      <x:c r="H41" s="41" t="n">
        <x:f>'90天收支'!S16+G41</x:f>
        <x:v>17</x:v>
      </x:c>
      <x:c r="I41" s="41" t="n">
        <x:f>SUM('90天收支'!$T$7:T16)+G41*2</x:f>
        <x:v>49</x:v>
      </x:c>
      <x:c r="J41" s="41" t="n">
        <x:f>IF(I41&gt;=160,1,0)</x:f>
        <x:v>0</x:v>
      </x:c>
      <x:c r="K41" s="41" t="n">
        <x:f>MIN($B$12,INT((A41-1)/$B$8)+1)*$B$7</x:f>
        <x:v>30</x:v>
      </x:c>
      <x:c r="L41" s="41" t="n">
        <x:f>SUM($E$32:E41)</x:f>
        <x:v>1</x:v>
      </x:c>
    </x:row>
    <x:row r="42">
      <x:c r="A42" s="1" t="n">
        <x:v>11</x:v>
      </x:c>
      <x:c r="B42" s="1" t="n">
        <x:f>IF(A42&lt;=$B$8*$B$12,1,0)</x:f>
        <x:v>1</x:v>
      </x:c>
      <x:c r="C42" s="1" t="n">
        <x:f>IF(AND(B42=1,MOD(A42-1,$B$8)=0),$B$9,0)</x:f>
        <x:v>0</x:v>
      </x:c>
      <x:c r="D42" s="1" t="n">
        <x:f>B42*$B$10</x:f>
        <x:v>12</x:v>
      </x:c>
      <x:c r="E42" s="1" t="n">
        <x:f>IF(AND(B42=1,MOD(MOD(A42-1,$B$8)+1,7)=0),$B$11,0)</x:f>
        <x:v>0</x:v>
      </x:c>
      <x:c r="F42" s="1" t="n">
        <x:f>SUM($C$32:D42)</x:f>
        <x:v>192</x:v>
      </x:c>
      <x:c r="G42" s="1" t="n">
        <x:f>INT(F42/'参数'!$D$61)</x:f>
        <x:v>3</x:v>
      </x:c>
      <x:c r="H42" s="1" t="n">
        <x:f>'90天收支'!S17+G42</x:f>
        <x:v>17</x:v>
      </x:c>
      <x:c r="I42" s="1" t="n">
        <x:f>SUM('90天收支'!$T$7:T17)+G42*2</x:f>
        <x:v>49</x:v>
      </x:c>
      <x:c r="J42" s="1" t="n">
        <x:f>IF(I42&gt;=160,1,0)</x:f>
        <x:v>0</x:v>
      </x:c>
      <x:c r="K42" s="1" t="n">
        <x:f>MIN($B$12,INT((A42-1)/$B$8)+1)*$B$7</x:f>
        <x:v>30</x:v>
      </x:c>
      <x:c r="L42" s="1" t="n">
        <x:f>SUM($E$32:E42)</x:f>
        <x:v>1</x:v>
      </x:c>
    </x:row>
    <x:row r="43">
      <x:c r="A43" s="41" t="n">
        <x:v>12</x:v>
      </x:c>
      <x:c r="B43" s="41" t="n">
        <x:f>IF(A43&lt;=$B$8*$B$12,1,0)</x:f>
        <x:v>1</x:v>
      </x:c>
      <x:c r="C43" s="41" t="n">
        <x:f>IF(AND(B43=1,MOD(A43-1,$B$8)=0),$B$9,0)</x:f>
        <x:v>0</x:v>
      </x:c>
      <x:c r="D43" s="41" t="n">
        <x:f>B43*$B$10</x:f>
        <x:v>12</x:v>
      </x:c>
      <x:c r="E43" s="41" t="n">
        <x:f>IF(AND(B43=1,MOD(MOD(A43-1,$B$8)+1,7)=0),$B$11,0)</x:f>
        <x:v>0</x:v>
      </x:c>
      <x:c r="F43" s="41" t="n">
        <x:f>SUM($C$32:D43)</x:f>
        <x:v>204</x:v>
      </x:c>
      <x:c r="G43" s="41" t="n">
        <x:f>INT(F43/'参数'!$D$61)</x:f>
        <x:v>3</x:v>
      </x:c>
      <x:c r="H43" s="41" t="n">
        <x:f>'90天收支'!S18+G43</x:f>
        <x:v>17</x:v>
      </x:c>
      <x:c r="I43" s="41" t="n">
        <x:f>SUM('90天收支'!$T$7:T18)+G43*2</x:f>
        <x:v>49</x:v>
      </x:c>
      <x:c r="J43" s="41" t="n">
        <x:f>IF(I43&gt;=160,1,0)</x:f>
        <x:v>0</x:v>
      </x:c>
      <x:c r="K43" s="41" t="n">
        <x:f>MIN($B$12,INT((A43-1)/$B$8)+1)*$B$7</x:f>
        <x:v>30</x:v>
      </x:c>
      <x:c r="L43" s="41" t="n">
        <x:f>SUM($E$32:E43)</x:f>
        <x:v>1</x:v>
      </x:c>
    </x:row>
    <x:row r="44">
      <x:c r="A44" s="1" t="n">
        <x:v>13</x:v>
      </x:c>
      <x:c r="B44" s="1" t="n">
        <x:f>IF(A44&lt;=$B$8*$B$12,1,0)</x:f>
        <x:v>1</x:v>
      </x:c>
      <x:c r="C44" s="1" t="n">
        <x:f>IF(AND(B44=1,MOD(A44-1,$B$8)=0),$B$9,0)</x:f>
        <x:v>0</x:v>
      </x:c>
      <x:c r="D44" s="1" t="n">
        <x:f>B44*$B$10</x:f>
        <x:v>12</x:v>
      </x:c>
      <x:c r="E44" s="1" t="n">
        <x:f>IF(AND(B44=1,MOD(MOD(A44-1,$B$8)+1,7)=0),$B$11,0)</x:f>
        <x:v>0</x:v>
      </x:c>
      <x:c r="F44" s="1" t="n">
        <x:f>SUM($C$32:D44)</x:f>
        <x:v>216</x:v>
      </x:c>
      <x:c r="G44" s="1" t="n">
        <x:f>INT(F44/'参数'!$D$61)</x:f>
        <x:v>3</x:v>
      </x:c>
      <x:c r="H44" s="1" t="n">
        <x:f>'90天收支'!S19+G44</x:f>
        <x:v>17</x:v>
      </x:c>
      <x:c r="I44" s="1" t="n">
        <x:f>SUM('90天收支'!$T$7:T19)+G44*2</x:f>
        <x:v>49</x:v>
      </x:c>
      <x:c r="J44" s="1" t="n">
        <x:f>IF(I44&gt;=160,1,0)</x:f>
        <x:v>0</x:v>
      </x:c>
      <x:c r="K44" s="1" t="n">
        <x:f>MIN($B$12,INT((A44-1)/$B$8)+1)*$B$7</x:f>
        <x:v>30</x:v>
      </x:c>
      <x:c r="L44" s="1" t="n">
        <x:f>SUM($E$32:E44)</x:f>
        <x:v>1</x:v>
      </x:c>
    </x:row>
    <x:row r="45">
      <x:c r="A45" s="41" t="n">
        <x:v>14</x:v>
      </x:c>
      <x:c r="B45" s="41" t="n">
        <x:f>IF(A45&lt;=$B$8*$B$12,1,0)</x:f>
        <x:v>1</x:v>
      </x:c>
      <x:c r="C45" s="41" t="n">
        <x:f>IF(AND(B45=1,MOD(A45-1,$B$8)=0),$B$9,0)</x:f>
        <x:v>0</x:v>
      </x:c>
      <x:c r="D45" s="41" t="n">
        <x:f>B45*$B$10</x:f>
        <x:v>12</x:v>
      </x:c>
      <x:c r="E45" s="41" t="n">
        <x:f>IF(AND(B45=1,MOD(MOD(A45-1,$B$8)+1,7)=0),$B$11,0)</x:f>
        <x:v>1</x:v>
      </x:c>
      <x:c r="F45" s="41" t="n">
        <x:f>SUM($C$32:D45)</x:f>
        <x:v>228</x:v>
      </x:c>
      <x:c r="G45" s="41" t="n">
        <x:f>INT(F45/'参数'!$D$61)</x:f>
        <x:v>3</x:v>
      </x:c>
      <x:c r="H45" s="41" t="n">
        <x:f>'90天收支'!S20+G45</x:f>
        <x:v>19</x:v>
      </x:c>
      <x:c r="I45" s="41" t="n">
        <x:f>SUM('90天收支'!$T$7:T20)+G45*2</x:f>
        <x:v>58</x:v>
      </x:c>
      <x:c r="J45" s="41" t="n">
        <x:f>IF(I45&gt;=160,1,0)</x:f>
        <x:v>0</x:v>
      </x:c>
      <x:c r="K45" s="41" t="n">
        <x:f>MIN($B$12,INT((A45-1)/$B$8)+1)*$B$7</x:f>
        <x:v>30</x:v>
      </x:c>
      <x:c r="L45" s="41" t="n">
        <x:f>SUM($E$32:E45)</x:f>
        <x:v>2</x:v>
      </x:c>
    </x:row>
    <x:row r="46">
      <x:c r="A46" s="1" t="n">
        <x:v>15</x:v>
      </x:c>
      <x:c r="B46" s="1" t="n">
        <x:f>IF(A46&lt;=$B$8*$B$12,1,0)</x:f>
        <x:v>1</x:v>
      </x:c>
      <x:c r="C46" s="1" t="n">
        <x:f>IF(AND(B46=1,MOD(A46-1,$B$8)=0),$B$9,0)</x:f>
        <x:v>0</x:v>
      </x:c>
      <x:c r="D46" s="1" t="n">
        <x:f>B46*$B$10</x:f>
        <x:v>12</x:v>
      </x:c>
      <x:c r="E46" s="1" t="n">
        <x:f>IF(AND(B46=1,MOD(MOD(A46-1,$B$8)+1,7)=0),$B$11,0)</x:f>
        <x:v>0</x:v>
      </x:c>
      <x:c r="F46" s="1" t="n">
        <x:f>SUM($C$32:D46)</x:f>
        <x:v>240</x:v>
      </x:c>
      <x:c r="G46" s="1" t="n">
        <x:f>INT(F46/'参数'!$D$61)</x:f>
        <x:v>4</x:v>
      </x:c>
      <x:c r="H46" s="1" t="n">
        <x:f>'90天收支'!S21+G46</x:f>
        <x:v>20</x:v>
      </x:c>
      <x:c r="I46" s="1" t="n">
        <x:f>SUM('90天收支'!$T$7:T21)+G46*2</x:f>
        <x:v>60</x:v>
      </x:c>
      <x:c r="J46" s="1" t="n">
        <x:f>IF(I46&gt;=160,1,0)</x:f>
        <x:v>0</x:v>
      </x:c>
      <x:c r="K46" s="1" t="n">
        <x:f>MIN($B$12,INT((A46-1)/$B$8)+1)*$B$7</x:f>
        <x:v>30</x:v>
      </x:c>
      <x:c r="L46" s="1" t="n">
        <x:f>SUM($E$32:E46)</x:f>
        <x:v>2</x:v>
      </x:c>
    </x:row>
    <x:row r="47">
      <x:c r="A47" s="41" t="n">
        <x:v>16</x:v>
      </x:c>
      <x:c r="B47" s="41" t="n">
        <x:f>IF(A47&lt;=$B$8*$B$12,1,0)</x:f>
        <x:v>1</x:v>
      </x:c>
      <x:c r="C47" s="41" t="n">
        <x:f>IF(AND(B47=1,MOD(A47-1,$B$8)=0),$B$9,0)</x:f>
        <x:v>0</x:v>
      </x:c>
      <x:c r="D47" s="41" t="n">
        <x:f>B47*$B$10</x:f>
        <x:v>12</x:v>
      </x:c>
      <x:c r="E47" s="41" t="n">
        <x:f>IF(AND(B47=1,MOD(MOD(A47-1,$B$8)+1,7)=0),$B$11,0)</x:f>
        <x:v>0</x:v>
      </x:c>
      <x:c r="F47" s="41" t="n">
        <x:f>SUM($C$32:D47)</x:f>
        <x:v>252</x:v>
      </x:c>
      <x:c r="G47" s="41" t="n">
        <x:f>INT(F47/'参数'!$D$61)</x:f>
        <x:v>4</x:v>
      </x:c>
      <x:c r="H47" s="41" t="n">
        <x:f>'90天收支'!S22+G47</x:f>
        <x:v>20</x:v>
      </x:c>
      <x:c r="I47" s="41" t="n">
        <x:f>SUM('90天收支'!$T$7:T22)+G47*2</x:f>
        <x:v>60</x:v>
      </x:c>
      <x:c r="J47" s="41" t="n">
        <x:f>IF(I47&gt;=160,1,0)</x:f>
        <x:v>0</x:v>
      </x:c>
      <x:c r="K47" s="41" t="n">
        <x:f>MIN($B$12,INT((A47-1)/$B$8)+1)*$B$7</x:f>
        <x:v>30</x:v>
      </x:c>
      <x:c r="L47" s="41" t="n">
        <x:f>SUM($E$32:E47)</x:f>
        <x:v>2</x:v>
      </x:c>
    </x:row>
    <x:row r="48">
      <x:c r="A48" s="1" t="n">
        <x:v>17</x:v>
      </x:c>
      <x:c r="B48" s="1" t="n">
        <x:f>IF(A48&lt;=$B$8*$B$12,1,0)</x:f>
        <x:v>1</x:v>
      </x:c>
      <x:c r="C48" s="1" t="n">
        <x:f>IF(AND(B48=1,MOD(A48-1,$B$8)=0),$B$9,0)</x:f>
        <x:v>0</x:v>
      </x:c>
      <x:c r="D48" s="1" t="n">
        <x:f>B48*$B$10</x:f>
        <x:v>12</x:v>
      </x:c>
      <x:c r="E48" s="1" t="n">
        <x:f>IF(AND(B48=1,MOD(MOD(A48-1,$B$8)+1,7)=0),$B$11,0)</x:f>
        <x:v>0</x:v>
      </x:c>
      <x:c r="F48" s="1" t="n">
        <x:f>SUM($C$32:D48)</x:f>
        <x:v>264</x:v>
      </x:c>
      <x:c r="G48" s="1" t="n">
        <x:f>INT(F48/'参数'!$D$61)</x:f>
        <x:v>4</x:v>
      </x:c>
      <x:c r="H48" s="1" t="n">
        <x:f>'90天收支'!S23+G48</x:f>
        <x:v>20</x:v>
      </x:c>
      <x:c r="I48" s="1" t="n">
        <x:f>SUM('90天收支'!$T$7:T23)+G48*2</x:f>
        <x:v>60</x:v>
      </x:c>
      <x:c r="J48" s="1" t="n">
        <x:f>IF(I48&gt;=160,1,0)</x:f>
        <x:v>0</x:v>
      </x:c>
      <x:c r="K48" s="1" t="n">
        <x:f>MIN($B$12,INT((A48-1)/$B$8)+1)*$B$7</x:f>
        <x:v>30</x:v>
      </x:c>
      <x:c r="L48" s="1" t="n">
        <x:f>SUM($E$32:E48)</x:f>
        <x:v>2</x:v>
      </x:c>
    </x:row>
    <x:row r="49">
      <x:c r="A49" s="41" t="n">
        <x:v>18</x:v>
      </x:c>
      <x:c r="B49" s="41" t="n">
        <x:f>IF(A49&lt;=$B$8*$B$12,1,0)</x:f>
        <x:v>1</x:v>
      </x:c>
      <x:c r="C49" s="41" t="n">
        <x:f>IF(AND(B49=1,MOD(A49-1,$B$8)=0),$B$9,0)</x:f>
        <x:v>0</x:v>
      </x:c>
      <x:c r="D49" s="41" t="n">
        <x:f>B49*$B$10</x:f>
        <x:v>12</x:v>
      </x:c>
      <x:c r="E49" s="41" t="n">
        <x:f>IF(AND(B49=1,MOD(MOD(A49-1,$B$8)+1,7)=0),$B$11,0)</x:f>
        <x:v>0</x:v>
      </x:c>
      <x:c r="F49" s="41" t="n">
        <x:f>SUM($C$32:D49)</x:f>
        <x:v>276</x:v>
      </x:c>
      <x:c r="G49" s="41" t="n">
        <x:f>INT(F49/'参数'!$D$61)</x:f>
        <x:v>4</x:v>
      </x:c>
      <x:c r="H49" s="41" t="n">
        <x:f>'90天收支'!S24+G49</x:f>
        <x:v>20</x:v>
      </x:c>
      <x:c r="I49" s="41" t="n">
        <x:f>SUM('90天收支'!$T$7:T24)+G49*2</x:f>
        <x:v>60</x:v>
      </x:c>
      <x:c r="J49" s="41" t="n">
        <x:f>IF(I49&gt;=160,1,0)</x:f>
        <x:v>0</x:v>
      </x:c>
      <x:c r="K49" s="41" t="n">
        <x:f>MIN($B$12,INT((A49-1)/$B$8)+1)*$B$7</x:f>
        <x:v>30</x:v>
      </x:c>
      <x:c r="L49" s="41" t="n">
        <x:f>SUM($E$32:E49)</x:f>
        <x:v>2</x:v>
      </x:c>
    </x:row>
    <x:row r="50">
      <x:c r="A50" s="1" t="n">
        <x:v>19</x:v>
      </x:c>
      <x:c r="B50" s="1" t="n">
        <x:f>IF(A50&lt;=$B$8*$B$12,1,0)</x:f>
        <x:v>1</x:v>
      </x:c>
      <x:c r="C50" s="1" t="n">
        <x:f>IF(AND(B50=1,MOD(A50-1,$B$8)=0),$B$9,0)</x:f>
        <x:v>0</x:v>
      </x:c>
      <x:c r="D50" s="1" t="n">
        <x:f>B50*$B$10</x:f>
        <x:v>12</x:v>
      </x:c>
      <x:c r="E50" s="1" t="n">
        <x:f>IF(AND(B50=1,MOD(MOD(A50-1,$B$8)+1,7)=0),$B$11,0)</x:f>
        <x:v>0</x:v>
      </x:c>
      <x:c r="F50" s="1" t="n">
        <x:f>SUM($C$32:D50)</x:f>
        <x:v>288</x:v>
      </x:c>
      <x:c r="G50" s="1" t="n">
        <x:f>INT(F50/'参数'!$D$61)</x:f>
        <x:v>4</x:v>
      </x:c>
      <x:c r="H50" s="1" t="n">
        <x:f>'90天收支'!S25+G50</x:f>
        <x:v>20</x:v>
      </x:c>
      <x:c r="I50" s="1" t="n">
        <x:f>SUM('90天收支'!$T$7:T25)+G50*2</x:f>
        <x:v>60</x:v>
      </x:c>
      <x:c r="J50" s="1" t="n">
        <x:f>IF(I50&gt;=160,1,0)</x:f>
        <x:v>0</x:v>
      </x:c>
      <x:c r="K50" s="1" t="n">
        <x:f>MIN($B$12,INT((A50-1)/$B$8)+1)*$B$7</x:f>
        <x:v>30</x:v>
      </x:c>
      <x:c r="L50" s="1" t="n">
        <x:f>SUM($E$32:E50)</x:f>
        <x:v>2</x:v>
      </x:c>
    </x:row>
    <x:row r="51">
      <x:c r="A51" s="41" t="n">
        <x:v>20</x:v>
      </x:c>
      <x:c r="B51" s="41" t="n">
        <x:f>IF(A51&lt;=$B$8*$B$12,1,0)</x:f>
        <x:v>1</x:v>
      </x:c>
      <x:c r="C51" s="41" t="n">
        <x:f>IF(AND(B51=1,MOD(A51-1,$B$8)=0),$B$9,0)</x:f>
        <x:v>0</x:v>
      </x:c>
      <x:c r="D51" s="41" t="n">
        <x:f>B51*$B$10</x:f>
        <x:v>12</x:v>
      </x:c>
      <x:c r="E51" s="41" t="n">
        <x:f>IF(AND(B51=1,MOD(MOD(A51-1,$B$8)+1,7)=0),$B$11,0)</x:f>
        <x:v>0</x:v>
      </x:c>
      <x:c r="F51" s="41" t="n">
        <x:f>SUM($C$32:D51)</x:f>
        <x:v>300</x:v>
      </x:c>
      <x:c r="G51" s="41" t="n">
        <x:f>INT(F51/'参数'!$D$61)</x:f>
        <x:v>5</x:v>
      </x:c>
      <x:c r="H51" s="41" t="n">
        <x:f>'90天收支'!S26+G51</x:f>
        <x:v>21</x:v>
      </x:c>
      <x:c r="I51" s="41" t="n">
        <x:f>SUM('90天收支'!$T$7:T26)+G51*2</x:f>
        <x:v>62</x:v>
      </x:c>
      <x:c r="J51" s="41" t="n">
        <x:f>IF(I51&gt;=160,1,0)</x:f>
        <x:v>0</x:v>
      </x:c>
      <x:c r="K51" s="41" t="n">
        <x:f>MIN($B$12,INT((A51-1)/$B$8)+1)*$B$7</x:f>
        <x:v>30</x:v>
      </x:c>
      <x:c r="L51" s="41" t="n">
        <x:f>SUM($E$32:E51)</x:f>
        <x:v>2</x:v>
      </x:c>
    </x:row>
    <x:row r="52">
      <x:c r="A52" s="1" t="n">
        <x:v>21</x:v>
      </x:c>
      <x:c r="B52" s="1" t="n">
        <x:f>IF(A52&lt;=$B$8*$B$12,1,0)</x:f>
        <x:v>1</x:v>
      </x:c>
      <x:c r="C52" s="1" t="n">
        <x:f>IF(AND(B52=1,MOD(A52-1,$B$8)=0),$B$9,0)</x:f>
        <x:v>0</x:v>
      </x:c>
      <x:c r="D52" s="1" t="n">
        <x:f>B52*$B$10</x:f>
        <x:v>12</x:v>
      </x:c>
      <x:c r="E52" s="1" t="n">
        <x:f>IF(AND(B52=1,MOD(MOD(A52-1,$B$8)+1,7)=0),$B$11,0)</x:f>
        <x:v>1</x:v>
      </x:c>
      <x:c r="F52" s="1" t="n">
        <x:f>SUM($C$32:D52)</x:f>
        <x:v>312</x:v>
      </x:c>
      <x:c r="G52" s="1" t="n">
        <x:f>INT(F52/'参数'!$D$61)</x:f>
        <x:v>5</x:v>
      </x:c>
      <x:c r="H52" s="1" t="n">
        <x:f>'90天收支'!S27+G52</x:f>
        <x:v>23</x:v>
      </x:c>
      <x:c r="I52" s="1" t="n">
        <x:f>SUM('90天收支'!$T$7:T27)+G52*2</x:f>
        <x:v>71</x:v>
      </x:c>
      <x:c r="J52" s="1" t="n">
        <x:f>IF(I52&gt;=160,1,0)</x:f>
        <x:v>0</x:v>
      </x:c>
      <x:c r="K52" s="1" t="n">
        <x:f>MIN($B$12,INT((A52-1)/$B$8)+1)*$B$7</x:f>
        <x:v>30</x:v>
      </x:c>
      <x:c r="L52" s="1" t="n">
        <x:f>SUM($E$32:E52)</x:f>
        <x:v>3</x:v>
      </x:c>
    </x:row>
    <x:row r="53">
      <x:c r="A53" s="41" t="n">
        <x:v>22</x:v>
      </x:c>
      <x:c r="B53" s="41" t="n">
        <x:f>IF(A53&lt;=$B$8*$B$12,1,0)</x:f>
        <x:v>1</x:v>
      </x:c>
      <x:c r="C53" s="41" t="n">
        <x:f>IF(AND(B53=1,MOD(A53-1,$B$8)=0),$B$9,0)</x:f>
        <x:v>0</x:v>
      </x:c>
      <x:c r="D53" s="41" t="n">
        <x:f>B53*$B$10</x:f>
        <x:v>12</x:v>
      </x:c>
      <x:c r="E53" s="41" t="n">
        <x:f>IF(AND(B53=1,MOD(MOD(A53-1,$B$8)+1,7)=0),$B$11,0)</x:f>
        <x:v>0</x:v>
      </x:c>
      <x:c r="F53" s="41" t="n">
        <x:f>SUM($C$32:D53)</x:f>
        <x:v>324</x:v>
      </x:c>
      <x:c r="G53" s="41" t="n">
        <x:f>INT(F53/'参数'!$D$61)</x:f>
        <x:v>5</x:v>
      </x:c>
      <x:c r="H53" s="41" t="n">
        <x:f>'90天收支'!S28+G53</x:f>
        <x:v>23</x:v>
      </x:c>
      <x:c r="I53" s="41" t="n">
        <x:f>SUM('90天收支'!$T$7:T28)+G53*2</x:f>
        <x:v>71</x:v>
      </x:c>
      <x:c r="J53" s="41" t="n">
        <x:f>IF(I53&gt;=160,1,0)</x:f>
        <x:v>0</x:v>
      </x:c>
      <x:c r="K53" s="41" t="n">
        <x:f>MIN($B$12,INT((A53-1)/$B$8)+1)*$B$7</x:f>
        <x:v>30</x:v>
      </x:c>
      <x:c r="L53" s="41" t="n">
        <x:f>SUM($E$32:E53)</x:f>
        <x:v>3</x:v>
      </x:c>
    </x:row>
    <x:row r="54">
      <x:c r="A54" s="1" t="n">
        <x:v>23</x:v>
      </x:c>
      <x:c r="B54" s="1" t="n">
        <x:f>IF(A54&lt;=$B$8*$B$12,1,0)</x:f>
        <x:v>1</x:v>
      </x:c>
      <x:c r="C54" s="1" t="n">
        <x:f>IF(AND(B54=1,MOD(A54-1,$B$8)=0),$B$9,0)</x:f>
        <x:v>0</x:v>
      </x:c>
      <x:c r="D54" s="1" t="n">
        <x:f>B54*$B$10</x:f>
        <x:v>12</x:v>
      </x:c>
      <x:c r="E54" s="1" t="n">
        <x:f>IF(AND(B54=1,MOD(MOD(A54-1,$B$8)+1,7)=0),$B$11,0)</x:f>
        <x:v>0</x:v>
      </x:c>
      <x:c r="F54" s="1" t="n">
        <x:f>SUM($C$32:D54)</x:f>
        <x:v>336</x:v>
      </x:c>
      <x:c r="G54" s="1" t="n">
        <x:f>INT(F54/'参数'!$D$61)</x:f>
        <x:v>5</x:v>
      </x:c>
      <x:c r="H54" s="1" t="n">
        <x:f>'90天收支'!S29+G54</x:f>
        <x:v>23</x:v>
      </x:c>
      <x:c r="I54" s="1" t="n">
        <x:f>SUM('90天收支'!$T$7:T29)+G54*2</x:f>
        <x:v>71</x:v>
      </x:c>
      <x:c r="J54" s="1" t="n">
        <x:f>IF(I54&gt;=160,1,0)</x:f>
        <x:v>0</x:v>
      </x:c>
      <x:c r="K54" s="1" t="n">
        <x:f>MIN($B$12,INT((A54-1)/$B$8)+1)*$B$7</x:f>
        <x:v>30</x:v>
      </x:c>
      <x:c r="L54" s="1" t="n">
        <x:f>SUM($E$32:E54)</x:f>
        <x:v>3</x:v>
      </x:c>
    </x:row>
    <x:row r="55">
      <x:c r="A55" s="41" t="n">
        <x:v>24</x:v>
      </x:c>
      <x:c r="B55" s="41" t="n">
        <x:f>IF(A55&lt;=$B$8*$B$12,1,0)</x:f>
        <x:v>1</x:v>
      </x:c>
      <x:c r="C55" s="41" t="n">
        <x:f>IF(AND(B55=1,MOD(A55-1,$B$8)=0),$B$9,0)</x:f>
        <x:v>0</x:v>
      </x:c>
      <x:c r="D55" s="41" t="n">
        <x:f>B55*$B$10</x:f>
        <x:v>12</x:v>
      </x:c>
      <x:c r="E55" s="41" t="n">
        <x:f>IF(AND(B55=1,MOD(MOD(A55-1,$B$8)+1,7)=0),$B$11,0)</x:f>
        <x:v>0</x:v>
      </x:c>
      <x:c r="F55" s="41" t="n">
        <x:f>SUM($C$32:D55)</x:f>
        <x:v>348</x:v>
      </x:c>
      <x:c r="G55" s="41" t="n">
        <x:f>INT(F55/'参数'!$D$61)</x:f>
        <x:v>5</x:v>
      </x:c>
      <x:c r="H55" s="41" t="n">
        <x:f>'90天收支'!S30+G55</x:f>
        <x:v>23</x:v>
      </x:c>
      <x:c r="I55" s="41" t="n">
        <x:f>SUM('90天收支'!$T$7:T30)+G55*2</x:f>
        <x:v>71</x:v>
      </x:c>
      <x:c r="J55" s="41" t="n">
        <x:f>IF(I55&gt;=160,1,0)</x:f>
        <x:v>0</x:v>
      </x:c>
      <x:c r="K55" s="41" t="n">
        <x:f>MIN($B$12,INT((A55-1)/$B$8)+1)*$B$7</x:f>
        <x:v>30</x:v>
      </x:c>
      <x:c r="L55" s="41" t="n">
        <x:f>SUM($E$32:E55)</x:f>
        <x:v>3</x:v>
      </x:c>
    </x:row>
    <x:row r="56">
      <x:c r="A56" s="1" t="n">
        <x:v>25</x:v>
      </x:c>
      <x:c r="B56" s="1" t="n">
        <x:f>IF(A56&lt;=$B$8*$B$12,1,0)</x:f>
        <x:v>1</x:v>
      </x:c>
      <x:c r="C56" s="1" t="n">
        <x:f>IF(AND(B56=1,MOD(A56-1,$B$8)=0),$B$9,0)</x:f>
        <x:v>0</x:v>
      </x:c>
      <x:c r="D56" s="1" t="n">
        <x:f>B56*$B$10</x:f>
        <x:v>12</x:v>
      </x:c>
      <x:c r="E56" s="1" t="n">
        <x:f>IF(AND(B56=1,MOD(MOD(A56-1,$B$8)+1,7)=0),$B$11,0)</x:f>
        <x:v>0</x:v>
      </x:c>
      <x:c r="F56" s="1" t="n">
        <x:f>SUM($C$32:D56)</x:f>
        <x:v>360</x:v>
      </x:c>
      <x:c r="G56" s="1" t="n">
        <x:f>INT(F56/'参数'!$D$61)</x:f>
        <x:v>6</x:v>
      </x:c>
      <x:c r="H56" s="1" t="n">
        <x:f>'90天收支'!S31+G56</x:f>
        <x:v>24</x:v>
      </x:c>
      <x:c r="I56" s="1" t="n">
        <x:f>SUM('90天收支'!$T$7:T31)+G56*2</x:f>
        <x:v>73</x:v>
      </x:c>
      <x:c r="J56" s="1" t="n">
        <x:f>IF(I56&gt;=160,1,0)</x:f>
        <x:v>0</x:v>
      </x:c>
      <x:c r="K56" s="1" t="n">
        <x:f>MIN($B$12,INT((A56-1)/$B$8)+1)*$B$7</x:f>
        <x:v>30</x:v>
      </x:c>
      <x:c r="L56" s="1" t="n">
        <x:f>SUM($E$32:E56)</x:f>
        <x:v>3</x:v>
      </x:c>
    </x:row>
    <x:row r="57">
      <x:c r="A57" s="41" t="n">
        <x:v>26</x:v>
      </x:c>
      <x:c r="B57" s="41" t="n">
        <x:f>IF(A57&lt;=$B$8*$B$12,1,0)</x:f>
        <x:v>1</x:v>
      </x:c>
      <x:c r="C57" s="41" t="n">
        <x:f>IF(AND(B57=1,MOD(A57-1,$B$8)=0),$B$9,0)</x:f>
        <x:v>0</x:v>
      </x:c>
      <x:c r="D57" s="41" t="n">
        <x:f>B57*$B$10</x:f>
        <x:v>12</x:v>
      </x:c>
      <x:c r="E57" s="41" t="n">
        <x:f>IF(AND(B57=1,MOD(MOD(A57-1,$B$8)+1,7)=0),$B$11,0)</x:f>
        <x:v>0</x:v>
      </x:c>
      <x:c r="F57" s="41" t="n">
        <x:f>SUM($C$32:D57)</x:f>
        <x:v>372</x:v>
      </x:c>
      <x:c r="G57" s="41" t="n">
        <x:f>INT(F57/'参数'!$D$61)</x:f>
        <x:v>6</x:v>
      </x:c>
      <x:c r="H57" s="41" t="n">
        <x:f>'90天收支'!S32+G57</x:f>
        <x:v>24</x:v>
      </x:c>
      <x:c r="I57" s="41" t="n">
        <x:f>SUM('90天收支'!$T$7:T32)+G57*2</x:f>
        <x:v>73</x:v>
      </x:c>
      <x:c r="J57" s="41" t="n">
        <x:f>IF(I57&gt;=160,1,0)</x:f>
        <x:v>0</x:v>
      </x:c>
      <x:c r="K57" s="41" t="n">
        <x:f>MIN($B$12,INT((A57-1)/$B$8)+1)*$B$7</x:f>
        <x:v>30</x:v>
      </x:c>
      <x:c r="L57" s="41" t="n">
        <x:f>SUM($E$32:E57)</x:f>
        <x:v>3</x:v>
      </x:c>
    </x:row>
    <x:row r="58">
      <x:c r="A58" s="1" t="n">
        <x:v>27</x:v>
      </x:c>
      <x:c r="B58" s="1" t="n">
        <x:f>IF(A58&lt;=$B$8*$B$12,1,0)</x:f>
        <x:v>1</x:v>
      </x:c>
      <x:c r="C58" s="1" t="n">
        <x:f>IF(AND(B58=1,MOD(A58-1,$B$8)=0),$B$9,0)</x:f>
        <x:v>0</x:v>
      </x:c>
      <x:c r="D58" s="1" t="n">
        <x:f>B58*$B$10</x:f>
        <x:v>12</x:v>
      </x:c>
      <x:c r="E58" s="1" t="n">
        <x:f>IF(AND(B58=1,MOD(MOD(A58-1,$B$8)+1,7)=0),$B$11,0)</x:f>
        <x:v>0</x:v>
      </x:c>
      <x:c r="F58" s="1" t="n">
        <x:f>SUM($C$32:D58)</x:f>
        <x:v>384</x:v>
      </x:c>
      <x:c r="G58" s="1" t="n">
        <x:f>INT(F58/'参数'!$D$61)</x:f>
        <x:v>6</x:v>
      </x:c>
      <x:c r="H58" s="1" t="n">
        <x:f>'90天收支'!S33+G58</x:f>
        <x:v>24</x:v>
      </x:c>
      <x:c r="I58" s="1" t="n">
        <x:f>SUM('90天收支'!$T$7:T33)+G58*2</x:f>
        <x:v>73</x:v>
      </x:c>
      <x:c r="J58" s="1" t="n">
        <x:f>IF(I58&gt;=160,1,0)</x:f>
        <x:v>0</x:v>
      </x:c>
      <x:c r="K58" s="1" t="n">
        <x:f>MIN($B$12,INT((A58-1)/$B$8)+1)*$B$7</x:f>
        <x:v>30</x:v>
      </x:c>
      <x:c r="L58" s="1" t="n">
        <x:f>SUM($E$32:E58)</x:f>
        <x:v>3</x:v>
      </x:c>
    </x:row>
    <x:row r="59">
      <x:c r="A59" s="41" t="n">
        <x:v>28</x:v>
      </x:c>
      <x:c r="B59" s="41" t="n">
        <x:f>IF(A59&lt;=$B$8*$B$12,1,0)</x:f>
        <x:v>1</x:v>
      </x:c>
      <x:c r="C59" s="41" t="n">
        <x:f>IF(AND(B59=1,MOD(A59-1,$B$8)=0),$B$9,0)</x:f>
        <x:v>0</x:v>
      </x:c>
      <x:c r="D59" s="41" t="n">
        <x:f>B59*$B$10</x:f>
        <x:v>12</x:v>
      </x:c>
      <x:c r="E59" s="41" t="n">
        <x:f>IF(AND(B59=1,MOD(MOD(A59-1,$B$8)+1,7)=0),$B$11,0)</x:f>
        <x:v>1</x:v>
      </x:c>
      <x:c r="F59" s="41" t="n">
        <x:f>SUM($C$32:D59)</x:f>
        <x:v>396</x:v>
      </x:c>
      <x:c r="G59" s="41" t="n">
        <x:f>INT(F59/'参数'!$D$61)</x:f>
        <x:v>6</x:v>
      </x:c>
      <x:c r="H59" s="41" t="n">
        <x:f>'90天收支'!S34+G59</x:f>
        <x:v>26</x:v>
      </x:c>
      <x:c r="I59" s="41" t="n">
        <x:f>SUM('90天收支'!$T$7:T34)+G59*2</x:f>
        <x:v>82</x:v>
      </x:c>
      <x:c r="J59" s="41" t="n">
        <x:f>IF(I59&gt;=160,1,0)</x:f>
        <x:v>0</x:v>
      </x:c>
      <x:c r="K59" s="41" t="n">
        <x:f>MIN($B$12,INT((A59-1)/$B$8)+1)*$B$7</x:f>
        <x:v>30</x:v>
      </x:c>
      <x:c r="L59" s="41" t="n">
        <x:f>SUM($E$32:E59)</x:f>
        <x:v>4</x:v>
      </x:c>
    </x:row>
    <x:row r="60">
      <x:c r="A60" s="1" t="n">
        <x:v>29</x:v>
      </x:c>
      <x:c r="B60" s="1" t="n">
        <x:f>IF(A60&lt;=$B$8*$B$12,1,0)</x:f>
        <x:v>1</x:v>
      </x:c>
      <x:c r="C60" s="1" t="n">
        <x:f>IF(AND(B60=1,MOD(A60-1,$B$8)=0),$B$9,0)</x:f>
        <x:v>0</x:v>
      </x:c>
      <x:c r="D60" s="1" t="n">
        <x:f>B60*$B$10</x:f>
        <x:v>12</x:v>
      </x:c>
      <x:c r="E60" s="1" t="n">
        <x:f>IF(AND(B60=1,MOD(MOD(A60-1,$B$8)+1,7)=0),$B$11,0)</x:f>
        <x:v>0</x:v>
      </x:c>
      <x:c r="F60" s="1" t="n">
        <x:f>SUM($C$32:D60)</x:f>
        <x:v>408</x:v>
      </x:c>
      <x:c r="G60" s="1" t="n">
        <x:f>INT(F60/'参数'!$D$61)</x:f>
        <x:v>6</x:v>
      </x:c>
      <x:c r="H60" s="1" t="n">
        <x:f>'90天收支'!S35+G60</x:f>
        <x:v>26</x:v>
      </x:c>
      <x:c r="I60" s="1" t="n">
        <x:f>SUM('90天收支'!$T$7:T35)+G60*2</x:f>
        <x:v>82</x:v>
      </x:c>
      <x:c r="J60" s="1" t="n">
        <x:f>IF(I60&gt;=160,1,0)</x:f>
        <x:v>0</x:v>
      </x:c>
      <x:c r="K60" s="1" t="n">
        <x:f>MIN($B$12,INT((A60-1)/$B$8)+1)*$B$7</x:f>
        <x:v>30</x:v>
      </x:c>
      <x:c r="L60" s="1" t="n">
        <x:f>SUM($E$32:E60)</x:f>
        <x:v>4</x:v>
      </x:c>
    </x:row>
    <x:row r="61">
      <x:c r="A61" s="41" t="n">
        <x:v>30</x:v>
      </x:c>
      <x:c r="B61" s="41" t="n">
        <x:f>IF(A61&lt;=$B$8*$B$12,1,0)</x:f>
        <x:v>1</x:v>
      </x:c>
      <x:c r="C61" s="41" t="n">
        <x:f>IF(AND(B61=1,MOD(A61-1,$B$8)=0),$B$9,0)</x:f>
        <x:v>0</x:v>
      </x:c>
      <x:c r="D61" s="41" t="n">
        <x:f>B61*$B$10</x:f>
        <x:v>12</x:v>
      </x:c>
      <x:c r="E61" s="41" t="n">
        <x:f>IF(AND(B61=1,MOD(MOD(A61-1,$B$8)+1,7)=0),$B$11,0)</x:f>
        <x:v>0</x:v>
      </x:c>
      <x:c r="F61" s="41" t="n">
        <x:f>SUM($C$32:D61)</x:f>
        <x:v>420</x:v>
      </x:c>
      <x:c r="G61" s="41" t="n">
        <x:f>INT(F61/'参数'!$D$61)</x:f>
        <x:v>7</x:v>
      </x:c>
      <x:c r="H61" s="41" t="n">
        <x:f>'90天收支'!S36+G61</x:f>
        <x:v>28</x:v>
      </x:c>
      <x:c r="I61" s="41" t="n">
        <x:f>SUM('90天收支'!$T$7:T36)+G61*2</x:f>
        <x:v>86</x:v>
      </x:c>
      <x:c r="J61" s="41" t="n">
        <x:f>IF(I61&gt;=160,1,0)</x:f>
        <x:v>0</x:v>
      </x:c>
      <x:c r="K61" s="41" t="n">
        <x:f>MIN($B$12,INT((A61-1)/$B$8)+1)*$B$7</x:f>
        <x:v>30</x:v>
      </x:c>
      <x:c r="L61" s="41" t="n">
        <x:f>SUM($E$32:E61)</x:f>
        <x:v>4</x:v>
      </x:c>
    </x:row>
    <x:row r="62">
      <x:c r="A62" s="1" t="n">
        <x:v>31</x:v>
      </x:c>
      <x:c r="B62" s="1" t="n">
        <x:f>IF(A62&lt;=$B$8*$B$12,1,0)</x:f>
        <x:v>1</x:v>
      </x:c>
      <x:c r="C62" s="1" t="n">
        <x:f>IF(AND(B62=1,MOD(A62-1,$B$8)=0),$B$9,0)</x:f>
        <x:v>60</x:v>
      </x:c>
      <x:c r="D62" s="1" t="n">
        <x:f>B62*$B$10</x:f>
        <x:v>12</x:v>
      </x:c>
      <x:c r="E62" s="1" t="n">
        <x:f>IF(AND(B62=1,MOD(MOD(A62-1,$B$8)+1,7)=0),$B$11,0)</x:f>
        <x:v>0</x:v>
      </x:c>
      <x:c r="F62" s="1" t="n">
        <x:f>SUM($C$32:D62)</x:f>
        <x:v>492</x:v>
      </x:c>
      <x:c r="G62" s="1" t="n">
        <x:f>INT(F62/'参数'!$D$61)</x:f>
        <x:v>8</x:v>
      </x:c>
      <x:c r="H62" s="1" t="n">
        <x:f>'90天收支'!S37+G62</x:f>
        <x:v>29</x:v>
      </x:c>
      <x:c r="I62" s="1" t="n">
        <x:f>SUM('90天收支'!$T$7:T37)+G62*2</x:f>
        <x:v>88</x:v>
      </x:c>
      <x:c r="J62" s="1" t="n">
        <x:f>IF(I62&gt;=160,1,0)</x:f>
        <x:v>0</x:v>
      </x:c>
      <x:c r="K62" s="1" t="n">
        <x:f>MIN($B$12,INT((A62-1)/$B$8)+1)*$B$7</x:f>
        <x:v>60</x:v>
      </x:c>
      <x:c r="L62" s="1" t="n">
        <x:f>SUM($E$32:E62)</x:f>
        <x:v>4</x:v>
      </x:c>
    </x:row>
    <x:row r="63">
      <x:c r="A63" s="41" t="n">
        <x:v>32</x:v>
      </x:c>
      <x:c r="B63" s="41" t="n">
        <x:f>IF(A63&lt;=$B$8*$B$12,1,0)</x:f>
        <x:v>1</x:v>
      </x:c>
      <x:c r="C63" s="41" t="n">
        <x:f>IF(AND(B63=1,MOD(A63-1,$B$8)=0),$B$9,0)</x:f>
        <x:v>0</x:v>
      </x:c>
      <x:c r="D63" s="41" t="n">
        <x:f>B63*$B$10</x:f>
        <x:v>12</x:v>
      </x:c>
      <x:c r="E63" s="41" t="n">
        <x:f>IF(AND(B63=1,MOD(MOD(A63-1,$B$8)+1,7)=0),$B$11,0)</x:f>
        <x:v>0</x:v>
      </x:c>
      <x:c r="F63" s="41" t="n">
        <x:f>SUM($C$32:D63)</x:f>
        <x:v>504</x:v>
      </x:c>
      <x:c r="G63" s="41" t="n">
        <x:f>INT(F63/'参数'!$D$61)</x:f>
        <x:v>8</x:v>
      </x:c>
      <x:c r="H63" s="41" t="n">
        <x:f>'90天收支'!S38+G63</x:f>
        <x:v>29</x:v>
      </x:c>
      <x:c r="I63" s="41" t="n">
        <x:f>SUM('90天收支'!$T$7:T38)+G63*2</x:f>
        <x:v>88</x:v>
      </x:c>
      <x:c r="J63" s="41" t="n">
        <x:f>IF(I63&gt;=160,1,0)</x:f>
        <x:v>0</x:v>
      </x:c>
      <x:c r="K63" s="41" t="n">
        <x:f>MIN($B$12,INT((A63-1)/$B$8)+1)*$B$7</x:f>
        <x:v>60</x:v>
      </x:c>
      <x:c r="L63" s="41" t="n">
        <x:f>SUM($E$32:E63)</x:f>
        <x:v>4</x:v>
      </x:c>
    </x:row>
    <x:row r="64">
      <x:c r="A64" s="1" t="n">
        <x:v>33</x:v>
      </x:c>
      <x:c r="B64" s="1" t="n">
        <x:f>IF(A64&lt;=$B$8*$B$12,1,0)</x:f>
        <x:v>1</x:v>
      </x:c>
      <x:c r="C64" s="1" t="n">
        <x:f>IF(AND(B64=1,MOD(A64-1,$B$8)=0),$B$9,0)</x:f>
        <x:v>0</x:v>
      </x:c>
      <x:c r="D64" s="1" t="n">
        <x:f>B64*$B$10</x:f>
        <x:v>12</x:v>
      </x:c>
      <x:c r="E64" s="1" t="n">
        <x:f>IF(AND(B64=1,MOD(MOD(A64-1,$B$8)+1,7)=0),$B$11,0)</x:f>
        <x:v>0</x:v>
      </x:c>
      <x:c r="F64" s="1" t="n">
        <x:f>SUM($C$32:D64)</x:f>
        <x:v>516</x:v>
      </x:c>
      <x:c r="G64" s="1" t="n">
        <x:f>INT(F64/'参数'!$D$61)</x:f>
        <x:v>8</x:v>
      </x:c>
      <x:c r="H64" s="1" t="n">
        <x:f>'90天收支'!S39+G64</x:f>
        <x:v>29</x:v>
      </x:c>
      <x:c r="I64" s="1" t="n">
        <x:f>SUM('90天收支'!$T$7:T39)+G64*2</x:f>
        <x:v>88</x:v>
      </x:c>
      <x:c r="J64" s="1" t="n">
        <x:f>IF(I64&gt;=160,1,0)</x:f>
        <x:v>0</x:v>
      </x:c>
      <x:c r="K64" s="1" t="n">
        <x:f>MIN($B$12,INT((A64-1)/$B$8)+1)*$B$7</x:f>
        <x:v>60</x:v>
      </x:c>
      <x:c r="L64" s="1" t="n">
        <x:f>SUM($E$32:E64)</x:f>
        <x:v>4</x:v>
      </x:c>
    </x:row>
    <x:row r="65">
      <x:c r="A65" s="41" t="n">
        <x:v>34</x:v>
      </x:c>
      <x:c r="B65" s="41" t="n">
        <x:f>IF(A65&lt;=$B$8*$B$12,1,0)</x:f>
        <x:v>1</x:v>
      </x:c>
      <x:c r="C65" s="41" t="n">
        <x:f>IF(AND(B65=1,MOD(A65-1,$B$8)=0),$B$9,0)</x:f>
        <x:v>0</x:v>
      </x:c>
      <x:c r="D65" s="41" t="n">
        <x:f>B65*$B$10</x:f>
        <x:v>12</x:v>
      </x:c>
      <x:c r="E65" s="41" t="n">
        <x:f>IF(AND(B65=1,MOD(MOD(A65-1,$B$8)+1,7)=0),$B$11,0)</x:f>
        <x:v>0</x:v>
      </x:c>
      <x:c r="F65" s="41" t="n">
        <x:f>SUM($C$32:D65)</x:f>
        <x:v>528</x:v>
      </x:c>
      <x:c r="G65" s="41" t="n">
        <x:f>INT(F65/'参数'!$D$61)</x:f>
        <x:v>8</x:v>
      </x:c>
      <x:c r="H65" s="41" t="n">
        <x:f>'90天收支'!S40+G65</x:f>
        <x:v>29</x:v>
      </x:c>
      <x:c r="I65" s="41" t="n">
        <x:f>SUM('90天收支'!$T$7:T40)+G65*2</x:f>
        <x:v>88</x:v>
      </x:c>
      <x:c r="J65" s="41" t="n">
        <x:f>IF(I65&gt;=160,1,0)</x:f>
        <x:v>0</x:v>
      </x:c>
      <x:c r="K65" s="41" t="n">
        <x:f>MIN($B$12,INT((A65-1)/$B$8)+1)*$B$7</x:f>
        <x:v>60</x:v>
      </x:c>
      <x:c r="L65" s="41" t="n">
        <x:f>SUM($E$32:E65)</x:f>
        <x:v>4</x:v>
      </x:c>
    </x:row>
    <x:row r="66">
      <x:c r="A66" s="1" t="n">
        <x:v>35</x:v>
      </x:c>
      <x:c r="B66" s="1" t="n">
        <x:f>IF(A66&lt;=$B$8*$B$12,1,0)</x:f>
        <x:v>1</x:v>
      </x:c>
      <x:c r="C66" s="1" t="n">
        <x:f>IF(AND(B66=1,MOD(A66-1,$B$8)=0),$B$9,0)</x:f>
        <x:v>0</x:v>
      </x:c>
      <x:c r="D66" s="1" t="n">
        <x:f>B66*$B$10</x:f>
        <x:v>12</x:v>
      </x:c>
      <x:c r="E66" s="1" t="n">
        <x:f>IF(AND(B66=1,MOD(MOD(A66-1,$B$8)+1,7)=0),$B$11,0)</x:f>
        <x:v>0</x:v>
      </x:c>
      <x:c r="F66" s="1" t="n">
        <x:f>SUM($C$32:D66)</x:f>
        <x:v>540</x:v>
      </x:c>
      <x:c r="G66" s="1" t="n">
        <x:f>INT(F66/'参数'!$D$61)</x:f>
        <x:v>9</x:v>
      </x:c>
      <x:c r="H66" s="1" t="n">
        <x:f>'90天收支'!S41+G66</x:f>
        <x:v>32</x:v>
      </x:c>
      <x:c r="I66" s="1" t="n">
        <x:f>SUM('90天收支'!$T$7:T41)+G66*2</x:f>
        <x:v>99</x:v>
      </x:c>
      <x:c r="J66" s="1" t="n">
        <x:f>IF(I66&gt;=160,1,0)</x:f>
        <x:v>0</x:v>
      </x:c>
      <x:c r="K66" s="1" t="n">
        <x:f>MIN($B$12,INT((A66-1)/$B$8)+1)*$B$7</x:f>
        <x:v>60</x:v>
      </x:c>
      <x:c r="L66" s="1" t="n">
        <x:f>SUM($E$32:E66)</x:f>
        <x:v>4</x:v>
      </x:c>
    </x:row>
    <x:row r="67">
      <x:c r="A67" s="41" t="n">
        <x:v>36</x:v>
      </x:c>
      <x:c r="B67" s="41" t="n">
        <x:f>IF(A67&lt;=$B$8*$B$12,1,0)</x:f>
        <x:v>1</x:v>
      </x:c>
      <x:c r="C67" s="41" t="n">
        <x:f>IF(AND(B67=1,MOD(A67-1,$B$8)=0),$B$9,0)</x:f>
        <x:v>0</x:v>
      </x:c>
      <x:c r="D67" s="41" t="n">
        <x:f>B67*$B$10</x:f>
        <x:v>12</x:v>
      </x:c>
      <x:c r="E67" s="41" t="n">
        <x:f>IF(AND(B67=1,MOD(MOD(A67-1,$B$8)+1,7)=0),$B$11,0)</x:f>
        <x:v>0</x:v>
      </x:c>
      <x:c r="F67" s="41" t="n">
        <x:f>SUM($C$32:D67)</x:f>
        <x:v>552</x:v>
      </x:c>
      <x:c r="G67" s="41" t="n">
        <x:f>INT(F67/'参数'!$D$61)</x:f>
        <x:v>9</x:v>
      </x:c>
      <x:c r="H67" s="41" t="n">
        <x:f>'90天收支'!S42+G67</x:f>
        <x:v>32</x:v>
      </x:c>
      <x:c r="I67" s="41" t="n">
        <x:f>SUM('90天收支'!$T$7:T42)+G67*2</x:f>
        <x:v>99</x:v>
      </x:c>
      <x:c r="J67" s="41" t="n">
        <x:f>IF(I67&gt;=160,1,0)</x:f>
        <x:v>0</x:v>
      </x:c>
      <x:c r="K67" s="41" t="n">
        <x:f>MIN($B$12,INT((A67-1)/$B$8)+1)*$B$7</x:f>
        <x:v>60</x:v>
      </x:c>
      <x:c r="L67" s="41" t="n">
        <x:f>SUM($E$32:E67)</x:f>
        <x:v>4</x:v>
      </x:c>
    </x:row>
    <x:row r="68">
      <x:c r="A68" s="1" t="n">
        <x:v>37</x:v>
      </x:c>
      <x:c r="B68" s="1" t="n">
        <x:f>IF(A68&lt;=$B$8*$B$12,1,0)</x:f>
        <x:v>1</x:v>
      </x:c>
      <x:c r="C68" s="1" t="n">
        <x:f>IF(AND(B68=1,MOD(A68-1,$B$8)=0),$B$9,0)</x:f>
        <x:v>0</x:v>
      </x:c>
      <x:c r="D68" s="1" t="n">
        <x:f>B68*$B$10</x:f>
        <x:v>12</x:v>
      </x:c>
      <x:c r="E68" s="1" t="n">
        <x:f>IF(AND(B68=1,MOD(MOD(A68-1,$B$8)+1,7)=0),$B$11,0)</x:f>
        <x:v>1</x:v>
      </x:c>
      <x:c r="F68" s="1" t="n">
        <x:f>SUM($C$32:D68)</x:f>
        <x:v>564</x:v>
      </x:c>
      <x:c r="G68" s="1" t="n">
        <x:f>INT(F68/'参数'!$D$61)</x:f>
        <x:v>9</x:v>
      </x:c>
      <x:c r="H68" s="1" t="n">
        <x:f>'90天收支'!S43+G68</x:f>
        <x:v>32</x:v>
      </x:c>
      <x:c r="I68" s="1" t="n">
        <x:f>SUM('90天收支'!$T$7:T43)+G68*2</x:f>
        <x:v>99</x:v>
      </x:c>
      <x:c r="J68" s="1" t="n">
        <x:f>IF(I68&gt;=160,1,0)</x:f>
        <x:v>0</x:v>
      </x:c>
      <x:c r="K68" s="1" t="n">
        <x:f>MIN($B$12,INT((A68-1)/$B$8)+1)*$B$7</x:f>
        <x:v>60</x:v>
      </x:c>
      <x:c r="L68" s="1" t="n">
        <x:f>SUM($E$32:E68)</x:f>
        <x:v>5</x:v>
      </x:c>
    </x:row>
    <x:row r="69">
      <x:c r="A69" s="41" t="n">
        <x:v>38</x:v>
      </x:c>
      <x:c r="B69" s="41" t="n">
        <x:f>IF(A69&lt;=$B$8*$B$12,1,0)</x:f>
        <x:v>1</x:v>
      </x:c>
      <x:c r="C69" s="41" t="n">
        <x:f>IF(AND(B69=1,MOD(A69-1,$B$8)=0),$B$9,0)</x:f>
        <x:v>0</x:v>
      </x:c>
      <x:c r="D69" s="41" t="n">
        <x:f>B69*$B$10</x:f>
        <x:v>12</x:v>
      </x:c>
      <x:c r="E69" s="41" t="n">
        <x:f>IF(AND(B69=1,MOD(MOD(A69-1,$B$8)+1,7)=0),$B$11,0)</x:f>
        <x:v>0</x:v>
      </x:c>
      <x:c r="F69" s="41" t="n">
        <x:f>SUM($C$32:D69)</x:f>
        <x:v>576</x:v>
      </x:c>
      <x:c r="G69" s="41" t="n">
        <x:f>INT(F69/'参数'!$D$61)</x:f>
        <x:v>9</x:v>
      </x:c>
      <x:c r="H69" s="41" t="n">
        <x:f>'90天收支'!S44+G69</x:f>
        <x:v>32</x:v>
      </x:c>
      <x:c r="I69" s="41" t="n">
        <x:f>SUM('90天收支'!$T$7:T44)+G69*2</x:f>
        <x:v>99</x:v>
      </x:c>
      <x:c r="J69" s="41" t="n">
        <x:f>IF(I69&gt;=160,1,0)</x:f>
        <x:v>0</x:v>
      </x:c>
      <x:c r="K69" s="41" t="n">
        <x:f>MIN($B$12,INT((A69-1)/$B$8)+1)*$B$7</x:f>
        <x:v>60</x:v>
      </x:c>
      <x:c r="L69" s="41" t="n">
        <x:f>SUM($E$32:E69)</x:f>
        <x:v>5</x:v>
      </x:c>
    </x:row>
    <x:row r="70">
      <x:c r="A70" s="1" t="n">
        <x:v>39</x:v>
      </x:c>
      <x:c r="B70" s="1" t="n">
        <x:f>IF(A70&lt;=$B$8*$B$12,1,0)</x:f>
        <x:v>1</x:v>
      </x:c>
      <x:c r="C70" s="1" t="n">
        <x:f>IF(AND(B70=1,MOD(A70-1,$B$8)=0),$B$9,0)</x:f>
        <x:v>0</x:v>
      </x:c>
      <x:c r="D70" s="1" t="n">
        <x:f>B70*$B$10</x:f>
        <x:v>12</x:v>
      </x:c>
      <x:c r="E70" s="1" t="n">
        <x:f>IF(AND(B70=1,MOD(MOD(A70-1,$B$8)+1,7)=0),$B$11,0)</x:f>
        <x:v>0</x:v>
      </x:c>
      <x:c r="F70" s="1" t="n">
        <x:f>SUM($C$32:D70)</x:f>
        <x:v>588</x:v>
      </x:c>
      <x:c r="G70" s="1" t="n">
        <x:f>INT(F70/'参数'!$D$61)</x:f>
        <x:v>9</x:v>
      </x:c>
      <x:c r="H70" s="1" t="n">
        <x:f>'90天收支'!S45+G70</x:f>
        <x:v>32</x:v>
      </x:c>
      <x:c r="I70" s="1" t="n">
        <x:f>SUM('90天收支'!$T$7:T45)+G70*2</x:f>
        <x:v>99</x:v>
      </x:c>
      <x:c r="J70" s="1" t="n">
        <x:f>IF(I70&gt;=160,1,0)</x:f>
        <x:v>0</x:v>
      </x:c>
      <x:c r="K70" s="1" t="n">
        <x:f>MIN($B$12,INT((A70-1)/$B$8)+1)*$B$7</x:f>
        <x:v>60</x:v>
      </x:c>
      <x:c r="L70" s="1" t="n">
        <x:f>SUM($E$32:E70)</x:f>
        <x:v>5</x:v>
      </x:c>
    </x:row>
    <x:row r="71">
      <x:c r="A71" s="41" t="n">
        <x:v>40</x:v>
      </x:c>
      <x:c r="B71" s="41" t="n">
        <x:f>IF(A71&lt;=$B$8*$B$12,1,0)</x:f>
        <x:v>1</x:v>
      </x:c>
      <x:c r="C71" s="41" t="n">
        <x:f>IF(AND(B71=1,MOD(A71-1,$B$8)=0),$B$9,0)</x:f>
        <x:v>0</x:v>
      </x:c>
      <x:c r="D71" s="41" t="n">
        <x:f>B71*$B$10</x:f>
        <x:v>12</x:v>
      </x:c>
      <x:c r="E71" s="41" t="n">
        <x:f>IF(AND(B71=1,MOD(MOD(A71-1,$B$8)+1,7)=0),$B$11,0)</x:f>
        <x:v>0</x:v>
      </x:c>
      <x:c r="F71" s="41" t="n">
        <x:f>SUM($C$32:D71)</x:f>
        <x:v>600</x:v>
      </x:c>
      <x:c r="G71" s="41" t="n">
        <x:f>INT(F71/'参数'!$D$61)</x:f>
        <x:v>10</x:v>
      </x:c>
      <x:c r="H71" s="41" t="n">
        <x:f>'90天收支'!S46+G71</x:f>
        <x:v>33</x:v>
      </x:c>
      <x:c r="I71" s="41" t="n">
        <x:f>SUM('90天收支'!$T$7:T46)+G71*2</x:f>
        <x:v>101</x:v>
      </x:c>
      <x:c r="J71" s="41" t="n">
        <x:f>IF(I71&gt;=160,1,0)</x:f>
        <x:v>0</x:v>
      </x:c>
      <x:c r="K71" s="41" t="n">
        <x:f>MIN($B$12,INT((A71-1)/$B$8)+1)*$B$7</x:f>
        <x:v>60</x:v>
      </x:c>
      <x:c r="L71" s="41" t="n">
        <x:f>SUM($E$32:E71)</x:f>
        <x:v>5</x:v>
      </x:c>
    </x:row>
    <x:row r="72">
      <x:c r="A72" s="1" t="n">
        <x:v>41</x:v>
      </x:c>
      <x:c r="B72" s="1" t="n">
        <x:f>IF(A72&lt;=$B$8*$B$12,1,0)</x:f>
        <x:v>1</x:v>
      </x:c>
      <x:c r="C72" s="1" t="n">
        <x:f>IF(AND(B72=1,MOD(A72-1,$B$8)=0),$B$9,0)</x:f>
        <x:v>0</x:v>
      </x:c>
      <x:c r="D72" s="1" t="n">
        <x:f>B72*$B$10</x:f>
        <x:v>12</x:v>
      </x:c>
      <x:c r="E72" s="1" t="n">
        <x:f>IF(AND(B72=1,MOD(MOD(A72-1,$B$8)+1,7)=0),$B$11,0)</x:f>
        <x:v>0</x:v>
      </x:c>
      <x:c r="F72" s="1" t="n">
        <x:f>SUM($C$32:D72)</x:f>
        <x:v>612</x:v>
      </x:c>
      <x:c r="G72" s="1" t="n">
        <x:f>INT(F72/'参数'!$D$61)</x:f>
        <x:v>10</x:v>
      </x:c>
      <x:c r="H72" s="1" t="n">
        <x:f>'90天收支'!S47+G72</x:f>
        <x:v>33</x:v>
      </x:c>
      <x:c r="I72" s="1" t="n">
        <x:f>SUM('90天收支'!$T$7:T47)+G72*2</x:f>
        <x:v>101</x:v>
      </x:c>
      <x:c r="J72" s="1" t="n">
        <x:f>IF(I72&gt;=160,1,0)</x:f>
        <x:v>0</x:v>
      </x:c>
      <x:c r="K72" s="1" t="n">
        <x:f>MIN($B$12,INT((A72-1)/$B$8)+1)*$B$7</x:f>
        <x:v>60</x:v>
      </x:c>
      <x:c r="L72" s="1" t="n">
        <x:f>SUM($E$32:E72)</x:f>
        <x:v>5</x:v>
      </x:c>
    </x:row>
    <x:row r="73">
      <x:c r="A73" s="41" t="n">
        <x:v>42</x:v>
      </x:c>
      <x:c r="B73" s="41" t="n">
        <x:f>IF(A73&lt;=$B$8*$B$12,1,0)</x:f>
        <x:v>1</x:v>
      </x:c>
      <x:c r="C73" s="41" t="n">
        <x:f>IF(AND(B73=1,MOD(A73-1,$B$8)=0),$B$9,0)</x:f>
        <x:v>0</x:v>
      </x:c>
      <x:c r="D73" s="41" t="n">
        <x:f>B73*$B$10</x:f>
        <x:v>12</x:v>
      </x:c>
      <x:c r="E73" s="41" t="n">
        <x:f>IF(AND(B73=1,MOD(MOD(A73-1,$B$8)+1,7)=0),$B$11,0)</x:f>
        <x:v>0</x:v>
      </x:c>
      <x:c r="F73" s="41" t="n">
        <x:f>SUM($C$32:D73)</x:f>
        <x:v>624</x:v>
      </x:c>
      <x:c r="G73" s="41" t="n">
        <x:f>INT(F73/'参数'!$D$61)</x:f>
        <x:v>10</x:v>
      </x:c>
      <x:c r="H73" s="41" t="n">
        <x:f>'90天收支'!S48+G73</x:f>
        <x:v>35</x:v>
      </x:c>
      <x:c r="I73" s="41" t="n">
        <x:f>SUM('90天收支'!$T$7:T48)+G73*2</x:f>
        <x:v>110</x:v>
      </x:c>
      <x:c r="J73" s="41" t="n">
        <x:f>IF(I73&gt;=160,1,0)</x:f>
        <x:v>0</x:v>
      </x:c>
      <x:c r="K73" s="41" t="n">
        <x:f>MIN($B$12,INT((A73-1)/$B$8)+1)*$B$7</x:f>
        <x:v>60</x:v>
      </x:c>
      <x:c r="L73" s="41" t="n">
        <x:f>SUM($E$32:E73)</x:f>
        <x:v>5</x:v>
      </x:c>
    </x:row>
    <x:row r="74">
      <x:c r="A74" s="1" t="n">
        <x:v>43</x:v>
      </x:c>
      <x:c r="B74" s="1" t="n">
        <x:f>IF(A74&lt;=$B$8*$B$12,1,0)</x:f>
        <x:v>1</x:v>
      </x:c>
      <x:c r="C74" s="1" t="n">
        <x:f>IF(AND(B74=1,MOD(A74-1,$B$8)=0),$B$9,0)</x:f>
        <x:v>0</x:v>
      </x:c>
      <x:c r="D74" s="1" t="n">
        <x:f>B74*$B$10</x:f>
        <x:v>12</x:v>
      </x:c>
      <x:c r="E74" s="1" t="n">
        <x:f>IF(AND(B74=1,MOD(MOD(A74-1,$B$8)+1,7)=0),$B$11,0)</x:f>
        <x:v>0</x:v>
      </x:c>
      <x:c r="F74" s="1" t="n">
        <x:f>SUM($C$32:D74)</x:f>
        <x:v>636</x:v>
      </x:c>
      <x:c r="G74" s="1" t="n">
        <x:f>INT(F74/'参数'!$D$61)</x:f>
        <x:v>10</x:v>
      </x:c>
      <x:c r="H74" s="1" t="n">
        <x:f>'90天收支'!S49+G74</x:f>
        <x:v>35</x:v>
      </x:c>
      <x:c r="I74" s="1" t="n">
        <x:f>SUM('90天收支'!$T$7:T49)+G74*2</x:f>
        <x:v>110</x:v>
      </x:c>
      <x:c r="J74" s="1" t="n">
        <x:f>IF(I74&gt;=160,1,0)</x:f>
        <x:v>0</x:v>
      </x:c>
      <x:c r="K74" s="1" t="n">
        <x:f>MIN($B$12,INT((A74-1)/$B$8)+1)*$B$7</x:f>
        <x:v>60</x:v>
      </x:c>
      <x:c r="L74" s="1" t="n">
        <x:f>SUM($E$32:E74)</x:f>
        <x:v>5</x:v>
      </x:c>
    </x:row>
    <x:row r="75">
      <x:c r="A75" s="41" t="n">
        <x:v>44</x:v>
      </x:c>
      <x:c r="B75" s="41" t="n">
        <x:f>IF(A75&lt;=$B$8*$B$12,1,0)</x:f>
        <x:v>1</x:v>
      </x:c>
      <x:c r="C75" s="41" t="n">
        <x:f>IF(AND(B75=1,MOD(A75-1,$B$8)=0),$B$9,0)</x:f>
        <x:v>0</x:v>
      </x:c>
      <x:c r="D75" s="41" t="n">
        <x:f>B75*$B$10</x:f>
        <x:v>12</x:v>
      </x:c>
      <x:c r="E75" s="41" t="n">
        <x:f>IF(AND(B75=1,MOD(MOD(A75-1,$B$8)+1,7)=0),$B$11,0)</x:f>
        <x:v>1</x:v>
      </x:c>
      <x:c r="F75" s="41" t="n">
        <x:f>SUM($C$32:D75)</x:f>
        <x:v>648</x:v>
      </x:c>
      <x:c r="G75" s="41" t="n">
        <x:f>INT(F75/'参数'!$D$61)</x:f>
        <x:v>10</x:v>
      </x:c>
      <x:c r="H75" s="41" t="n">
        <x:f>'90天收支'!S50+G75</x:f>
        <x:v>35</x:v>
      </x:c>
      <x:c r="I75" s="41" t="n">
        <x:f>SUM('90天收支'!$T$7:T50)+G75*2</x:f>
        <x:v>110</x:v>
      </x:c>
      <x:c r="J75" s="41" t="n">
        <x:f>IF(I75&gt;=160,1,0)</x:f>
        <x:v>0</x:v>
      </x:c>
      <x:c r="K75" s="41" t="n">
        <x:f>MIN($B$12,INT((A75-1)/$B$8)+1)*$B$7</x:f>
        <x:v>60</x:v>
      </x:c>
      <x:c r="L75" s="41" t="n">
        <x:f>SUM($E$32:E75)</x:f>
        <x:v>6</x:v>
      </x:c>
    </x:row>
    <x:row r="76">
      <x:c r="A76" s="1" t="n">
        <x:v>45</x:v>
      </x:c>
      <x:c r="B76" s="1" t="n">
        <x:f>IF(A76&lt;=$B$8*$B$12,1,0)</x:f>
        <x:v>1</x:v>
      </x:c>
      <x:c r="C76" s="1" t="n">
        <x:f>IF(AND(B76=1,MOD(A76-1,$B$8)=0),$B$9,0)</x:f>
        <x:v>0</x:v>
      </x:c>
      <x:c r="D76" s="1" t="n">
        <x:f>B76*$B$10</x:f>
        <x:v>12</x:v>
      </x:c>
      <x:c r="E76" s="1" t="n">
        <x:f>IF(AND(B76=1,MOD(MOD(A76-1,$B$8)+1,7)=0),$B$11,0)</x:f>
        <x:v>0</x:v>
      </x:c>
      <x:c r="F76" s="1" t="n">
        <x:f>SUM($C$32:D76)</x:f>
        <x:v>660</x:v>
      </x:c>
      <x:c r="G76" s="1" t="n">
        <x:f>INT(F76/'参数'!$D$61)</x:f>
        <x:v>11</x:v>
      </x:c>
      <x:c r="H76" s="1" t="n">
        <x:f>'90天收支'!S51+G76</x:f>
        <x:v>36</x:v>
      </x:c>
      <x:c r="I76" s="1" t="n">
        <x:f>SUM('90天收支'!$T$7:T51)+G76*2</x:f>
        <x:v>112</x:v>
      </x:c>
      <x:c r="J76" s="1" t="n">
        <x:f>IF(I76&gt;=160,1,0)</x:f>
        <x:v>0</x:v>
      </x:c>
      <x:c r="K76" s="1" t="n">
        <x:f>MIN($B$12,INT((A76-1)/$B$8)+1)*$B$7</x:f>
        <x:v>60</x:v>
      </x:c>
      <x:c r="L76" s="1" t="n">
        <x:f>SUM($E$32:E76)</x:f>
        <x:v>6</x:v>
      </x:c>
    </x:row>
    <x:row r="77">
      <x:c r="A77" s="41" t="n">
        <x:v>46</x:v>
      </x:c>
      <x:c r="B77" s="41" t="n">
        <x:f>IF(A77&lt;=$B$8*$B$12,1,0)</x:f>
        <x:v>1</x:v>
      </x:c>
      <x:c r="C77" s="41" t="n">
        <x:f>IF(AND(B77=1,MOD(A77-1,$B$8)=0),$B$9,0)</x:f>
        <x:v>0</x:v>
      </x:c>
      <x:c r="D77" s="41" t="n">
        <x:f>B77*$B$10</x:f>
        <x:v>12</x:v>
      </x:c>
      <x:c r="E77" s="41" t="n">
        <x:f>IF(AND(B77=1,MOD(MOD(A77-1,$B$8)+1,7)=0),$B$11,0)</x:f>
        <x:v>0</x:v>
      </x:c>
      <x:c r="F77" s="41" t="n">
        <x:f>SUM($C$32:D77)</x:f>
        <x:v>672</x:v>
      </x:c>
      <x:c r="G77" s="41" t="n">
        <x:f>INT(F77/'参数'!$D$61)</x:f>
        <x:v>11</x:v>
      </x:c>
      <x:c r="H77" s="41" t="n">
        <x:f>'90天收支'!S52+G77</x:f>
        <x:v>36</x:v>
      </x:c>
      <x:c r="I77" s="41" t="n">
        <x:f>SUM('90天收支'!$T$7:T52)+G77*2</x:f>
        <x:v>112</x:v>
      </x:c>
      <x:c r="J77" s="41" t="n">
        <x:f>IF(I77&gt;=160,1,0)</x:f>
        <x:v>0</x:v>
      </x:c>
      <x:c r="K77" s="41" t="n">
        <x:f>MIN($B$12,INT((A77-1)/$B$8)+1)*$B$7</x:f>
        <x:v>60</x:v>
      </x:c>
      <x:c r="L77" s="41" t="n">
        <x:f>SUM($E$32:E77)</x:f>
        <x:v>6</x:v>
      </x:c>
    </x:row>
    <x:row r="78">
      <x:c r="A78" s="1" t="n">
        <x:v>47</x:v>
      </x:c>
      <x:c r="B78" s="1" t="n">
        <x:f>IF(A78&lt;=$B$8*$B$12,1,0)</x:f>
        <x:v>1</x:v>
      </x:c>
      <x:c r="C78" s="1" t="n">
        <x:f>IF(AND(B78=1,MOD(A78-1,$B$8)=0),$B$9,0)</x:f>
        <x:v>0</x:v>
      </x:c>
      <x:c r="D78" s="1" t="n">
        <x:f>B78*$B$10</x:f>
        <x:v>12</x:v>
      </x:c>
      <x:c r="E78" s="1" t="n">
        <x:f>IF(AND(B78=1,MOD(MOD(A78-1,$B$8)+1,7)=0),$B$11,0)</x:f>
        <x:v>0</x:v>
      </x:c>
      <x:c r="F78" s="1" t="n">
        <x:f>SUM($C$32:D78)</x:f>
        <x:v>684</x:v>
      </x:c>
      <x:c r="G78" s="1" t="n">
        <x:f>INT(F78/'参数'!$D$61)</x:f>
        <x:v>11</x:v>
      </x:c>
      <x:c r="H78" s="1" t="n">
        <x:f>'90天收支'!S53+G78</x:f>
        <x:v>36</x:v>
      </x:c>
      <x:c r="I78" s="1" t="n">
        <x:f>SUM('90天收支'!$T$7:T53)+G78*2</x:f>
        <x:v>112</x:v>
      </x:c>
      <x:c r="J78" s="1" t="n">
        <x:f>IF(I78&gt;=160,1,0)</x:f>
        <x:v>0</x:v>
      </x:c>
      <x:c r="K78" s="1" t="n">
        <x:f>MIN($B$12,INT((A78-1)/$B$8)+1)*$B$7</x:f>
        <x:v>60</x:v>
      </x:c>
      <x:c r="L78" s="1" t="n">
        <x:f>SUM($E$32:E78)</x:f>
        <x:v>6</x:v>
      </x:c>
    </x:row>
    <x:row r="79">
      <x:c r="A79" s="41" t="n">
        <x:v>48</x:v>
      </x:c>
      <x:c r="B79" s="41" t="n">
        <x:f>IF(A79&lt;=$B$8*$B$12,1,0)</x:f>
        <x:v>1</x:v>
      </x:c>
      <x:c r="C79" s="41" t="n">
        <x:f>IF(AND(B79=1,MOD(A79-1,$B$8)=0),$B$9,0)</x:f>
        <x:v>0</x:v>
      </x:c>
      <x:c r="D79" s="41" t="n">
        <x:f>B79*$B$10</x:f>
        <x:v>12</x:v>
      </x:c>
      <x:c r="E79" s="41" t="n">
        <x:f>IF(AND(B79=1,MOD(MOD(A79-1,$B$8)+1,7)=0),$B$11,0)</x:f>
        <x:v>0</x:v>
      </x:c>
      <x:c r="F79" s="41" t="n">
        <x:f>SUM($C$32:D79)</x:f>
        <x:v>696</x:v>
      </x:c>
      <x:c r="G79" s="41" t="n">
        <x:f>INT(F79/'参数'!$D$61)</x:f>
        <x:v>11</x:v>
      </x:c>
      <x:c r="H79" s="41" t="n">
        <x:f>'90天收支'!S54+G79</x:f>
        <x:v>36</x:v>
      </x:c>
      <x:c r="I79" s="41" t="n">
        <x:f>SUM('90天收支'!$T$7:T54)+G79*2</x:f>
        <x:v>112</x:v>
      </x:c>
      <x:c r="J79" s="41" t="n">
        <x:f>IF(I79&gt;=160,1,0)</x:f>
        <x:v>0</x:v>
      </x:c>
      <x:c r="K79" s="41" t="n">
        <x:f>MIN($B$12,INT((A79-1)/$B$8)+1)*$B$7</x:f>
        <x:v>60</x:v>
      </x:c>
      <x:c r="L79" s="41" t="n">
        <x:f>SUM($E$32:E79)</x:f>
        <x:v>6</x:v>
      </x:c>
    </x:row>
    <x:row r="80">
      <x:c r="A80" s="1" t="n">
        <x:v>49</x:v>
      </x:c>
      <x:c r="B80" s="1" t="n">
        <x:f>IF(A80&lt;=$B$8*$B$12,1,0)</x:f>
        <x:v>1</x:v>
      </x:c>
      <x:c r="C80" s="1" t="n">
        <x:f>IF(AND(B80=1,MOD(A80-1,$B$8)=0),$B$9,0)</x:f>
        <x:v>0</x:v>
      </x:c>
      <x:c r="D80" s="1" t="n">
        <x:f>B80*$B$10</x:f>
        <x:v>12</x:v>
      </x:c>
      <x:c r="E80" s="1" t="n">
        <x:f>IF(AND(B80=1,MOD(MOD(A80-1,$B$8)+1,7)=0),$B$11,0)</x:f>
        <x:v>0</x:v>
      </x:c>
      <x:c r="F80" s="1" t="n">
        <x:f>SUM($C$32:D80)</x:f>
        <x:v>708</x:v>
      </x:c>
      <x:c r="G80" s="1" t="n">
        <x:f>INT(F80/'参数'!$D$61)</x:f>
        <x:v>11</x:v>
      </x:c>
      <x:c r="H80" s="1" t="n">
        <x:f>'90天收支'!S55+G80</x:f>
        <x:v>38</x:v>
      </x:c>
      <x:c r="I80" s="1" t="n">
        <x:f>SUM('90天收支'!$T$7:T55)+G80*2</x:f>
        <x:v>121</x:v>
      </x:c>
      <x:c r="J80" s="1" t="n">
        <x:f>IF(I80&gt;=160,1,0)</x:f>
        <x:v>0</x:v>
      </x:c>
      <x:c r="K80" s="1" t="n">
        <x:f>MIN($B$12,INT((A80-1)/$B$8)+1)*$B$7</x:f>
        <x:v>60</x:v>
      </x:c>
      <x:c r="L80" s="1" t="n">
        <x:f>SUM($E$32:E80)</x:f>
        <x:v>6</x:v>
      </x:c>
    </x:row>
    <x:row r="81">
      <x:c r="A81" s="41" t="n">
        <x:v>50</x:v>
      </x:c>
      <x:c r="B81" s="41" t="n">
        <x:f>IF(A81&lt;=$B$8*$B$12,1,0)</x:f>
        <x:v>1</x:v>
      </x:c>
      <x:c r="C81" s="41" t="n">
        <x:f>IF(AND(B81=1,MOD(A81-1,$B$8)=0),$B$9,0)</x:f>
        <x:v>0</x:v>
      </x:c>
      <x:c r="D81" s="41" t="n">
        <x:f>B81*$B$10</x:f>
        <x:v>12</x:v>
      </x:c>
      <x:c r="E81" s="41" t="n">
        <x:f>IF(AND(B81=1,MOD(MOD(A81-1,$B$8)+1,7)=0),$B$11,0)</x:f>
        <x:v>0</x:v>
      </x:c>
      <x:c r="F81" s="41" t="n">
        <x:f>SUM($C$32:D81)</x:f>
        <x:v>720</x:v>
      </x:c>
      <x:c r="G81" s="41" t="n">
        <x:f>INT(F81/'参数'!$D$61)</x:f>
        <x:v>12</x:v>
      </x:c>
      <x:c r="H81" s="41" t="n">
        <x:f>'90天收支'!S56+G81</x:f>
        <x:v>39</x:v>
      </x:c>
      <x:c r="I81" s="41" t="n">
        <x:f>SUM('90天收支'!$T$7:T56)+G81*2</x:f>
        <x:v>123</x:v>
      </x:c>
      <x:c r="J81" s="41" t="n">
        <x:f>IF(I81&gt;=160,1,0)</x:f>
        <x:v>0</x:v>
      </x:c>
      <x:c r="K81" s="41" t="n">
        <x:f>MIN($B$12,INT((A81-1)/$B$8)+1)*$B$7</x:f>
        <x:v>60</x:v>
      </x:c>
      <x:c r="L81" s="41" t="n">
        <x:f>SUM($E$32:E81)</x:f>
        <x:v>6</x:v>
      </x:c>
    </x:row>
    <x:row r="82">
      <x:c r="A82" s="1" t="n">
        <x:v>51</x:v>
      </x:c>
      <x:c r="B82" s="1" t="n">
        <x:f>IF(A82&lt;=$B$8*$B$12,1,0)</x:f>
        <x:v>1</x:v>
      </x:c>
      <x:c r="C82" s="1" t="n">
        <x:f>IF(AND(B82=1,MOD(A82-1,$B$8)=0),$B$9,0)</x:f>
        <x:v>0</x:v>
      </x:c>
      <x:c r="D82" s="1" t="n">
        <x:f>B82*$B$10</x:f>
        <x:v>12</x:v>
      </x:c>
      <x:c r="E82" s="1" t="n">
        <x:f>IF(AND(B82=1,MOD(MOD(A82-1,$B$8)+1,7)=0),$B$11,0)</x:f>
        <x:v>1</x:v>
      </x:c>
      <x:c r="F82" s="1" t="n">
        <x:f>SUM($C$32:D82)</x:f>
        <x:v>732</x:v>
      </x:c>
      <x:c r="G82" s="1" t="n">
        <x:f>INT(F82/'参数'!$D$61)</x:f>
        <x:v>12</x:v>
      </x:c>
      <x:c r="H82" s="1" t="n">
        <x:f>'90天收支'!S57+G82</x:f>
        <x:v>39</x:v>
      </x:c>
      <x:c r="I82" s="1" t="n">
        <x:f>SUM('90天收支'!$T$7:T57)+G82*2</x:f>
        <x:v>123</x:v>
      </x:c>
      <x:c r="J82" s="1" t="n">
        <x:f>IF(I82&gt;=160,1,0)</x:f>
        <x:v>0</x:v>
      </x:c>
      <x:c r="K82" s="1" t="n">
        <x:f>MIN($B$12,INT((A82-1)/$B$8)+1)*$B$7</x:f>
        <x:v>60</x:v>
      </x:c>
      <x:c r="L82" s="1" t="n">
        <x:f>SUM($E$32:E82)</x:f>
        <x:v>7</x:v>
      </x:c>
    </x:row>
    <x:row r="83">
      <x:c r="A83" s="41" t="n">
        <x:v>52</x:v>
      </x:c>
      <x:c r="B83" s="41" t="n">
        <x:f>IF(A83&lt;=$B$8*$B$12,1,0)</x:f>
        <x:v>1</x:v>
      </x:c>
      <x:c r="C83" s="41" t="n">
        <x:f>IF(AND(B83=1,MOD(A83-1,$B$8)=0),$B$9,0)</x:f>
        <x:v>0</x:v>
      </x:c>
      <x:c r="D83" s="41" t="n">
        <x:f>B83*$B$10</x:f>
        <x:v>12</x:v>
      </x:c>
      <x:c r="E83" s="41" t="n">
        <x:f>IF(AND(B83=1,MOD(MOD(A83-1,$B$8)+1,7)=0),$B$11,0)</x:f>
        <x:v>0</x:v>
      </x:c>
      <x:c r="F83" s="41" t="n">
        <x:f>SUM($C$32:D83)</x:f>
        <x:v>744</x:v>
      </x:c>
      <x:c r="G83" s="41" t="n">
        <x:f>INT(F83/'参数'!$D$61)</x:f>
        <x:v>12</x:v>
      </x:c>
      <x:c r="H83" s="41" t="n">
        <x:f>'90天收支'!S58+G83</x:f>
        <x:v>39</x:v>
      </x:c>
      <x:c r="I83" s="41" t="n">
        <x:f>SUM('90天收支'!$T$7:T58)+G83*2</x:f>
        <x:v>123</x:v>
      </x:c>
      <x:c r="J83" s="41" t="n">
        <x:f>IF(I83&gt;=160,1,0)</x:f>
        <x:v>0</x:v>
      </x:c>
      <x:c r="K83" s="41" t="n">
        <x:f>MIN($B$12,INT((A83-1)/$B$8)+1)*$B$7</x:f>
        <x:v>60</x:v>
      </x:c>
      <x:c r="L83" s="41" t="n">
        <x:f>SUM($E$32:E83)</x:f>
        <x:v>7</x:v>
      </x:c>
    </x:row>
    <x:row r="84">
      <x:c r="A84" s="1" t="n">
        <x:v>53</x:v>
      </x:c>
      <x:c r="B84" s="1" t="n">
        <x:f>IF(A84&lt;=$B$8*$B$12,1,0)</x:f>
        <x:v>1</x:v>
      </x:c>
      <x:c r="C84" s="1" t="n">
        <x:f>IF(AND(B84=1,MOD(A84-1,$B$8)=0),$B$9,0)</x:f>
        <x:v>0</x:v>
      </x:c>
      <x:c r="D84" s="1" t="n">
        <x:f>B84*$B$10</x:f>
        <x:v>12</x:v>
      </x:c>
      <x:c r="E84" s="1" t="n">
        <x:f>IF(AND(B84=1,MOD(MOD(A84-1,$B$8)+1,7)=0),$B$11,0)</x:f>
        <x:v>0</x:v>
      </x:c>
      <x:c r="F84" s="1" t="n">
        <x:f>SUM($C$32:D84)</x:f>
        <x:v>756</x:v>
      </x:c>
      <x:c r="G84" s="1" t="n">
        <x:f>INT(F84/'参数'!$D$61)</x:f>
        <x:v>12</x:v>
      </x:c>
      <x:c r="H84" s="1" t="n">
        <x:f>'90天收支'!S59+G84</x:f>
        <x:v>39</x:v>
      </x:c>
      <x:c r="I84" s="1" t="n">
        <x:f>SUM('90天收支'!$T$7:T59)+G84*2</x:f>
        <x:v>123</x:v>
      </x:c>
      <x:c r="J84" s="1" t="n">
        <x:f>IF(I84&gt;=160,1,0)</x:f>
        <x:v>0</x:v>
      </x:c>
      <x:c r="K84" s="1" t="n">
        <x:f>MIN($B$12,INT((A84-1)/$B$8)+1)*$B$7</x:f>
        <x:v>60</x:v>
      </x:c>
      <x:c r="L84" s="1" t="n">
        <x:f>SUM($E$32:E84)</x:f>
        <x:v>7</x:v>
      </x:c>
    </x:row>
    <x:row r="85">
      <x:c r="A85" s="41" t="n">
        <x:v>54</x:v>
      </x:c>
      <x:c r="B85" s="41" t="n">
        <x:f>IF(A85&lt;=$B$8*$B$12,1,0)</x:f>
        <x:v>1</x:v>
      </x:c>
      <x:c r="C85" s="41" t="n">
        <x:f>IF(AND(B85=1,MOD(A85-1,$B$8)=0),$B$9,0)</x:f>
        <x:v>0</x:v>
      </x:c>
      <x:c r="D85" s="41" t="n">
        <x:f>B85*$B$10</x:f>
        <x:v>12</x:v>
      </x:c>
      <x:c r="E85" s="41" t="n">
        <x:f>IF(AND(B85=1,MOD(MOD(A85-1,$B$8)+1,7)=0),$B$11,0)</x:f>
        <x:v>0</x:v>
      </x:c>
      <x:c r="F85" s="41" t="n">
        <x:f>SUM($C$32:D85)</x:f>
        <x:v>768</x:v>
      </x:c>
      <x:c r="G85" s="41" t="n">
        <x:f>INT(F85/'参数'!$D$61)</x:f>
        <x:v>12</x:v>
      </x:c>
      <x:c r="H85" s="41" t="n">
        <x:f>'90天收支'!S60+G85</x:f>
        <x:v>39</x:v>
      </x:c>
      <x:c r="I85" s="41" t="n">
        <x:f>SUM('90天收支'!$T$7:T60)+G85*2</x:f>
        <x:v>123</x:v>
      </x:c>
      <x:c r="J85" s="41" t="n">
        <x:f>IF(I85&gt;=160,1,0)</x:f>
        <x:v>0</x:v>
      </x:c>
      <x:c r="K85" s="41" t="n">
        <x:f>MIN($B$12,INT((A85-1)/$B$8)+1)*$B$7</x:f>
        <x:v>60</x:v>
      </x:c>
      <x:c r="L85" s="41" t="n">
        <x:f>SUM($E$32:E85)</x:f>
        <x:v>7</x:v>
      </x:c>
    </x:row>
    <x:row r="86">
      <x:c r="A86" s="1" t="n">
        <x:v>55</x:v>
      </x:c>
      <x:c r="B86" s="1" t="n">
        <x:f>IF(A86&lt;=$B$8*$B$12,1,0)</x:f>
        <x:v>1</x:v>
      </x:c>
      <x:c r="C86" s="1" t="n">
        <x:f>IF(AND(B86=1,MOD(A86-1,$B$8)=0),$B$9,0)</x:f>
        <x:v>0</x:v>
      </x:c>
      <x:c r="D86" s="1" t="n">
        <x:f>B86*$B$10</x:f>
        <x:v>12</x:v>
      </x:c>
      <x:c r="E86" s="1" t="n">
        <x:f>IF(AND(B86=1,MOD(MOD(A86-1,$B$8)+1,7)=0),$B$11,0)</x:f>
        <x:v>0</x:v>
      </x:c>
      <x:c r="F86" s="1" t="n">
        <x:f>SUM($C$32:D86)</x:f>
        <x:v>780</x:v>
      </x:c>
      <x:c r="G86" s="1" t="n">
        <x:f>INT(F86/'参数'!$D$61)</x:f>
        <x:v>13</x:v>
      </x:c>
      <x:c r="H86" s="1" t="n">
        <x:f>'90天收支'!S61+G86</x:f>
        <x:v>40</x:v>
      </x:c>
      <x:c r="I86" s="1" t="n">
        <x:f>SUM('90天收支'!$T$7:T61)+G86*2</x:f>
        <x:v>125</x:v>
      </x:c>
      <x:c r="J86" s="1" t="n">
        <x:f>IF(I86&gt;=160,1,0)</x:f>
        <x:v>0</x:v>
      </x:c>
      <x:c r="K86" s="1" t="n">
        <x:f>MIN($B$12,INT((A86-1)/$B$8)+1)*$B$7</x:f>
        <x:v>60</x:v>
      </x:c>
      <x:c r="L86" s="1" t="n">
        <x:f>SUM($E$32:E86)</x:f>
        <x:v>7</x:v>
      </x:c>
    </x:row>
    <x:row r="87">
      <x:c r="A87" s="41" t="n">
        <x:v>56</x:v>
      </x:c>
      <x:c r="B87" s="41" t="n">
        <x:f>IF(A87&lt;=$B$8*$B$12,1,0)</x:f>
        <x:v>1</x:v>
      </x:c>
      <x:c r="C87" s="41" t="n">
        <x:f>IF(AND(B87=1,MOD(A87-1,$B$8)=0),$B$9,0)</x:f>
        <x:v>0</x:v>
      </x:c>
      <x:c r="D87" s="41" t="n">
        <x:f>B87*$B$10</x:f>
        <x:v>12</x:v>
      </x:c>
      <x:c r="E87" s="41" t="n">
        <x:f>IF(AND(B87=1,MOD(MOD(A87-1,$B$8)+1,7)=0),$B$11,0)</x:f>
        <x:v>0</x:v>
      </x:c>
      <x:c r="F87" s="41" t="n">
        <x:f>SUM($C$32:D87)</x:f>
        <x:v>792</x:v>
      </x:c>
      <x:c r="G87" s="41" t="n">
        <x:f>INT(F87/'参数'!$D$61)</x:f>
        <x:v>13</x:v>
      </x:c>
      <x:c r="H87" s="41" t="n">
        <x:f>'90天收支'!S62+G87</x:f>
        <x:v>42</x:v>
      </x:c>
      <x:c r="I87" s="41" t="n">
        <x:f>SUM('90天收支'!$T$7:T62)+G87*2</x:f>
        <x:v>134</x:v>
      </x:c>
      <x:c r="J87" s="41" t="n">
        <x:f>IF(I87&gt;=160,1,0)</x:f>
        <x:v>0</x:v>
      </x:c>
      <x:c r="K87" s="41" t="n">
        <x:f>MIN($B$12,INT((A87-1)/$B$8)+1)*$B$7</x:f>
        <x:v>60</x:v>
      </x:c>
      <x:c r="L87" s="41" t="n">
        <x:f>SUM($E$32:E87)</x:f>
        <x:v>7</x:v>
      </x:c>
    </x:row>
    <x:row r="88">
      <x:c r="A88" s="1" t="n">
        <x:v>57</x:v>
      </x:c>
      <x:c r="B88" s="1" t="n">
        <x:f>IF(A88&lt;=$B$8*$B$12,1,0)</x:f>
        <x:v>1</x:v>
      </x:c>
      <x:c r="C88" s="1" t="n">
        <x:f>IF(AND(B88=1,MOD(A88-1,$B$8)=0),$B$9,0)</x:f>
        <x:v>0</x:v>
      </x:c>
      <x:c r="D88" s="1" t="n">
        <x:f>B88*$B$10</x:f>
        <x:v>12</x:v>
      </x:c>
      <x:c r="E88" s="1" t="n">
        <x:f>IF(AND(B88=1,MOD(MOD(A88-1,$B$8)+1,7)=0),$B$11,0)</x:f>
        <x:v>0</x:v>
      </x:c>
      <x:c r="F88" s="1" t="n">
        <x:f>SUM($C$32:D88)</x:f>
        <x:v>804</x:v>
      </x:c>
      <x:c r="G88" s="1" t="n">
        <x:f>INT(F88/'参数'!$D$61)</x:f>
        <x:v>13</x:v>
      </x:c>
      <x:c r="H88" s="1" t="n">
        <x:f>'90天收支'!S63+G88</x:f>
        <x:v>42</x:v>
      </x:c>
      <x:c r="I88" s="1" t="n">
        <x:f>SUM('90天收支'!$T$7:T63)+G88*2</x:f>
        <x:v>134</x:v>
      </x:c>
      <x:c r="J88" s="1" t="n">
        <x:f>IF(I88&gt;=160,1,0)</x:f>
        <x:v>0</x:v>
      </x:c>
      <x:c r="K88" s="1" t="n">
        <x:f>MIN($B$12,INT((A88-1)/$B$8)+1)*$B$7</x:f>
        <x:v>60</x:v>
      </x:c>
      <x:c r="L88" s="1" t="n">
        <x:f>SUM($E$32:E88)</x:f>
        <x:v>7</x:v>
      </x:c>
    </x:row>
    <x:row r="89">
      <x:c r="A89" s="41" t="n">
        <x:v>58</x:v>
      </x:c>
      <x:c r="B89" s="41" t="n">
        <x:f>IF(A89&lt;=$B$8*$B$12,1,0)</x:f>
        <x:v>1</x:v>
      </x:c>
      <x:c r="C89" s="41" t="n">
        <x:f>IF(AND(B89=1,MOD(A89-1,$B$8)=0),$B$9,0)</x:f>
        <x:v>0</x:v>
      </x:c>
      <x:c r="D89" s="41" t="n">
        <x:f>B89*$B$10</x:f>
        <x:v>12</x:v>
      </x:c>
      <x:c r="E89" s="41" t="n">
        <x:f>IF(AND(B89=1,MOD(MOD(A89-1,$B$8)+1,7)=0),$B$11,0)</x:f>
        <x:v>1</x:v>
      </x:c>
      <x:c r="F89" s="41" t="n">
        <x:f>SUM($C$32:D89)</x:f>
        <x:v>816</x:v>
      </x:c>
      <x:c r="G89" s="41" t="n">
        <x:f>INT(F89/'参数'!$D$61)</x:f>
        <x:v>13</x:v>
      </x:c>
      <x:c r="H89" s="41" t="n">
        <x:f>'90天收支'!S64+G89</x:f>
        <x:v>42</x:v>
      </x:c>
      <x:c r="I89" s="41" t="n">
        <x:f>SUM('90天收支'!$T$7:T64)+G89*2</x:f>
        <x:v>134</x:v>
      </x:c>
      <x:c r="J89" s="41" t="n">
        <x:f>IF(I89&gt;=160,1,0)</x:f>
        <x:v>0</x:v>
      </x:c>
      <x:c r="K89" s="41" t="n">
        <x:f>MIN($B$12,INT((A89-1)/$B$8)+1)*$B$7</x:f>
        <x:v>60</x:v>
      </x:c>
      <x:c r="L89" s="41" t="n">
        <x:f>SUM($E$32:E89)</x:f>
        <x:v>8</x:v>
      </x:c>
    </x:row>
    <x:row r="90">
      <x:c r="A90" s="1" t="n">
        <x:v>59</x:v>
      </x:c>
      <x:c r="B90" s="1" t="n">
        <x:f>IF(A90&lt;=$B$8*$B$12,1,0)</x:f>
        <x:v>1</x:v>
      </x:c>
      <x:c r="C90" s="1" t="n">
        <x:f>IF(AND(B90=1,MOD(A90-1,$B$8)=0),$B$9,0)</x:f>
        <x:v>0</x:v>
      </x:c>
      <x:c r="D90" s="1" t="n">
        <x:f>B90*$B$10</x:f>
        <x:v>12</x:v>
      </x:c>
      <x:c r="E90" s="1" t="n">
        <x:f>IF(AND(B90=1,MOD(MOD(A90-1,$B$8)+1,7)=0),$B$11,0)</x:f>
        <x:v>0</x:v>
      </x:c>
      <x:c r="F90" s="1" t="n">
        <x:f>SUM($C$32:D90)</x:f>
        <x:v>828</x:v>
      </x:c>
      <x:c r="G90" s="1" t="n">
        <x:f>INT(F90/'参数'!$D$61)</x:f>
        <x:v>13</x:v>
      </x:c>
      <x:c r="H90" s="1" t="n">
        <x:f>'90天收支'!S65+G90</x:f>
        <x:v>42</x:v>
      </x:c>
      <x:c r="I90" s="1" t="n">
        <x:f>SUM('90天收支'!$T$7:T65)+G90*2</x:f>
        <x:v>134</x:v>
      </x:c>
      <x:c r="J90" s="1" t="n">
        <x:f>IF(I90&gt;=160,1,0)</x:f>
        <x:v>0</x:v>
      </x:c>
      <x:c r="K90" s="1" t="n">
        <x:f>MIN($B$12,INT((A90-1)/$B$8)+1)*$B$7</x:f>
        <x:v>60</x:v>
      </x:c>
      <x:c r="L90" s="1" t="n">
        <x:f>SUM($E$32:E90)</x:f>
        <x:v>8</x:v>
      </x:c>
    </x:row>
    <x:row r="91">
      <x:c r="A91" s="41" t="n">
        <x:v>60</x:v>
      </x:c>
      <x:c r="B91" s="41" t="n">
        <x:f>IF(A91&lt;=$B$8*$B$12,1,0)</x:f>
        <x:v>1</x:v>
      </x:c>
      <x:c r="C91" s="41" t="n">
        <x:f>IF(AND(B91=1,MOD(A91-1,$B$8)=0),$B$9,0)</x:f>
        <x:v>0</x:v>
      </x:c>
      <x:c r="D91" s="41" t="n">
        <x:f>B91*$B$10</x:f>
        <x:v>12</x:v>
      </x:c>
      <x:c r="E91" s="41" t="n">
        <x:f>IF(AND(B91=1,MOD(MOD(A91-1,$B$8)+1,7)=0),$B$11,0)</x:f>
        <x:v>0</x:v>
      </x:c>
      <x:c r="F91" s="41" t="n">
        <x:f>SUM($C$32:D91)</x:f>
        <x:v>840</x:v>
      </x:c>
      <x:c r="G91" s="41" t="n">
        <x:f>INT(F91/'参数'!$D$61)</x:f>
        <x:v>14</x:v>
      </x:c>
      <x:c r="H91" s="41" t="n">
        <x:f>'90天收支'!S66+G91</x:f>
        <x:v>44</x:v>
      </x:c>
      <x:c r="I91" s="41" t="n">
        <x:f>SUM('90天收支'!$T$7:T66)+G91*2</x:f>
        <x:v>138</x:v>
      </x:c>
      <x:c r="J91" s="41" t="n">
        <x:f>IF(I91&gt;=160,1,0)</x:f>
        <x:v>0</x:v>
      </x:c>
      <x:c r="K91" s="41" t="n">
        <x:f>MIN($B$12,INT((A91-1)/$B$8)+1)*$B$7</x:f>
        <x:v>60</x:v>
      </x:c>
      <x:c r="L91" s="41" t="n">
        <x:f>SUM($E$32:E91)</x:f>
        <x:v>8</x:v>
      </x:c>
    </x:row>
    <x:row r="92">
      <x:c r="A92" s="1" t="n">
        <x:v>61</x:v>
      </x:c>
      <x:c r="B92" s="1" t="n">
        <x:f>IF(A92&lt;=$B$8*$B$12,1,0)</x:f>
        <x:v>1</x:v>
      </x:c>
      <x:c r="C92" s="1" t="n">
        <x:f>IF(AND(B92=1,MOD(A92-1,$B$8)=0),$B$9,0)</x:f>
        <x:v>60</x:v>
      </x:c>
      <x:c r="D92" s="1" t="n">
        <x:f>B92*$B$10</x:f>
        <x:v>12</x:v>
      </x:c>
      <x:c r="E92" s="1" t="n">
        <x:f>IF(AND(B92=1,MOD(MOD(A92-1,$B$8)+1,7)=0),$B$11,0)</x:f>
        <x:v>0</x:v>
      </x:c>
      <x:c r="F92" s="1" t="n">
        <x:f>SUM($C$32:D92)</x:f>
        <x:v>912</x:v>
      </x:c>
      <x:c r="G92" s="1" t="n">
        <x:f>INT(F92/'参数'!$D$61)</x:f>
        <x:v>15</x:v>
      </x:c>
      <x:c r="H92" s="1" t="n">
        <x:f>'90天收支'!S67+G92</x:f>
        <x:v>45</x:v>
      </x:c>
      <x:c r="I92" s="1" t="n">
        <x:f>SUM('90天收支'!$T$7:T67)+G92*2</x:f>
        <x:v>140</x:v>
      </x:c>
      <x:c r="J92" s="1" t="n">
        <x:f>IF(I92&gt;=160,1,0)</x:f>
        <x:v>0</x:v>
      </x:c>
      <x:c r="K92" s="1" t="n">
        <x:f>MIN($B$12,INT((A92-1)/$B$8)+1)*$B$7</x:f>
        <x:v>90</x:v>
      </x:c>
      <x:c r="L92" s="1" t="n">
        <x:f>SUM($E$32:E92)</x:f>
        <x:v>8</x:v>
      </x:c>
    </x:row>
    <x:row r="93">
      <x:c r="A93" s="41" t="n">
        <x:v>62</x:v>
      </x:c>
      <x:c r="B93" s="41" t="n">
        <x:f>IF(A93&lt;=$B$8*$B$12,1,0)</x:f>
        <x:v>1</x:v>
      </x:c>
      <x:c r="C93" s="41" t="n">
        <x:f>IF(AND(B93=1,MOD(A93-1,$B$8)=0),$B$9,0)</x:f>
        <x:v>0</x:v>
      </x:c>
      <x:c r="D93" s="41" t="n">
        <x:f>B93*$B$10</x:f>
        <x:v>12</x:v>
      </x:c>
      <x:c r="E93" s="41" t="n">
        <x:f>IF(AND(B93=1,MOD(MOD(A93-1,$B$8)+1,7)=0),$B$11,0)</x:f>
        <x:v>0</x:v>
      </x:c>
      <x:c r="F93" s="41" t="n">
        <x:f>SUM($C$32:D93)</x:f>
        <x:v>924</x:v>
      </x:c>
      <x:c r="G93" s="41" t="n">
        <x:f>INT(F93/'参数'!$D$61)</x:f>
        <x:v>15</x:v>
      </x:c>
      <x:c r="H93" s="41" t="n">
        <x:f>'90天收支'!S68+G93</x:f>
        <x:v>45</x:v>
      </x:c>
      <x:c r="I93" s="41" t="n">
        <x:f>SUM('90天收支'!$T$7:T68)+G93*2</x:f>
        <x:v>140</x:v>
      </x:c>
      <x:c r="J93" s="41" t="n">
        <x:f>IF(I93&gt;=160,1,0)</x:f>
        <x:v>0</x:v>
      </x:c>
      <x:c r="K93" s="41" t="n">
        <x:f>MIN($B$12,INT((A93-1)/$B$8)+1)*$B$7</x:f>
        <x:v>90</x:v>
      </x:c>
      <x:c r="L93" s="41" t="n">
        <x:f>SUM($E$32:E93)</x:f>
        <x:v>8</x:v>
      </x:c>
    </x:row>
    <x:row r="94">
      <x:c r="A94" s="1" t="n">
        <x:v>63</x:v>
      </x:c>
      <x:c r="B94" s="1" t="n">
        <x:f>IF(A94&lt;=$B$8*$B$12,1,0)</x:f>
        <x:v>1</x:v>
      </x:c>
      <x:c r="C94" s="1" t="n">
        <x:f>IF(AND(B94=1,MOD(A94-1,$B$8)=0),$B$9,0)</x:f>
        <x:v>0</x:v>
      </x:c>
      <x:c r="D94" s="1" t="n">
        <x:f>B94*$B$10</x:f>
        <x:v>12</x:v>
      </x:c>
      <x:c r="E94" s="1" t="n">
        <x:f>IF(AND(B94=1,MOD(MOD(A94-1,$B$8)+1,7)=0),$B$11,0)</x:f>
        <x:v>0</x:v>
      </x:c>
      <x:c r="F94" s="1" t="n">
        <x:f>SUM($C$32:D94)</x:f>
        <x:v>936</x:v>
      </x:c>
      <x:c r="G94" s="1" t="n">
        <x:f>INT(F94/'参数'!$D$61)</x:f>
        <x:v>15</x:v>
      </x:c>
      <x:c r="H94" s="1" t="n">
        <x:f>'90天收支'!S69+G94</x:f>
        <x:v>47</x:v>
      </x:c>
      <x:c r="I94" s="1" t="n">
        <x:f>SUM('90天收支'!$T$7:T69)+G94*2</x:f>
        <x:v>149</x:v>
      </x:c>
      <x:c r="J94" s="1" t="n">
        <x:f>IF(I94&gt;=160,1,0)</x:f>
        <x:v>0</x:v>
      </x:c>
      <x:c r="K94" s="1" t="n">
        <x:f>MIN($B$12,INT((A94-1)/$B$8)+1)*$B$7</x:f>
        <x:v>90</x:v>
      </x:c>
      <x:c r="L94" s="1" t="n">
        <x:f>SUM($E$32:E94)</x:f>
        <x:v>8</x:v>
      </x:c>
    </x:row>
    <x:row r="95">
      <x:c r="A95" s="41" t="n">
        <x:v>64</x:v>
      </x:c>
      <x:c r="B95" s="41" t="n">
        <x:f>IF(A95&lt;=$B$8*$B$12,1,0)</x:f>
        <x:v>1</x:v>
      </x:c>
      <x:c r="C95" s="41" t="n">
        <x:f>IF(AND(B95=1,MOD(A95-1,$B$8)=0),$B$9,0)</x:f>
        <x:v>0</x:v>
      </x:c>
      <x:c r="D95" s="41" t="n">
        <x:f>B95*$B$10</x:f>
        <x:v>12</x:v>
      </x:c>
      <x:c r="E95" s="41" t="n">
        <x:f>IF(AND(B95=1,MOD(MOD(A95-1,$B$8)+1,7)=0),$B$11,0)</x:f>
        <x:v>0</x:v>
      </x:c>
      <x:c r="F95" s="41" t="n">
        <x:f>SUM($C$32:D95)</x:f>
        <x:v>948</x:v>
      </x:c>
      <x:c r="G95" s="41" t="n">
        <x:f>INT(F95/'参数'!$D$61)</x:f>
        <x:v>15</x:v>
      </x:c>
      <x:c r="H95" s="41" t="n">
        <x:f>'90天收支'!S70+G95</x:f>
        <x:v>47</x:v>
      </x:c>
      <x:c r="I95" s="41" t="n">
        <x:f>SUM('90天收支'!$T$7:T70)+G95*2</x:f>
        <x:v>149</x:v>
      </x:c>
      <x:c r="J95" s="41" t="n">
        <x:f>IF(I95&gt;=160,1,0)</x:f>
        <x:v>0</x:v>
      </x:c>
      <x:c r="K95" s="41" t="n">
        <x:f>MIN($B$12,INT((A95-1)/$B$8)+1)*$B$7</x:f>
        <x:v>90</x:v>
      </x:c>
      <x:c r="L95" s="41" t="n">
        <x:f>SUM($E$32:E95)</x:f>
        <x:v>8</x:v>
      </x:c>
    </x:row>
    <x:row r="96">
      <x:c r="A96" s="1" t="n">
        <x:v>65</x:v>
      </x:c>
      <x:c r="B96" s="1" t="n">
        <x:f>IF(A96&lt;=$B$8*$B$12,1,0)</x:f>
        <x:v>1</x:v>
      </x:c>
      <x:c r="C96" s="1" t="n">
        <x:f>IF(AND(B96=1,MOD(A96-1,$B$8)=0),$B$9,0)</x:f>
        <x:v>0</x:v>
      </x:c>
      <x:c r="D96" s="1" t="n">
        <x:f>B96*$B$10</x:f>
        <x:v>12</x:v>
      </x:c>
      <x:c r="E96" s="1" t="n">
        <x:f>IF(AND(B96=1,MOD(MOD(A96-1,$B$8)+1,7)=0),$B$11,0)</x:f>
        <x:v>0</x:v>
      </x:c>
      <x:c r="F96" s="1" t="n">
        <x:f>SUM($C$32:D96)</x:f>
        <x:v>960</x:v>
      </x:c>
      <x:c r="G96" s="1" t="n">
        <x:f>INT(F96/'参数'!$D$61)</x:f>
        <x:v>16</x:v>
      </x:c>
      <x:c r="H96" s="1" t="n">
        <x:f>'90天收支'!S71+G96</x:f>
        <x:v>48</x:v>
      </x:c>
      <x:c r="I96" s="1" t="n">
        <x:f>SUM('90天收支'!$T$7:T71)+G96*2</x:f>
        <x:v>151</x:v>
      </x:c>
      <x:c r="J96" s="1" t="n">
        <x:f>IF(I96&gt;=160,1,0)</x:f>
        <x:v>0</x:v>
      </x:c>
      <x:c r="K96" s="1" t="n">
        <x:f>MIN($B$12,INT((A96-1)/$B$8)+1)*$B$7</x:f>
        <x:v>90</x:v>
      </x:c>
      <x:c r="L96" s="1" t="n">
        <x:f>SUM($E$32:E96)</x:f>
        <x:v>8</x:v>
      </x:c>
    </x:row>
    <x:row r="97">
      <x:c r="A97" s="41" t="n">
        <x:v>66</x:v>
      </x:c>
      <x:c r="B97" s="41" t="n">
        <x:f>IF(A97&lt;=$B$8*$B$12,1,0)</x:f>
        <x:v>1</x:v>
      </x:c>
      <x:c r="C97" s="41" t="n">
        <x:f>IF(AND(B97=1,MOD(A97-1,$B$8)=0),$B$9,0)</x:f>
        <x:v>0</x:v>
      </x:c>
      <x:c r="D97" s="41" t="n">
        <x:f>B97*$B$10</x:f>
        <x:v>12</x:v>
      </x:c>
      <x:c r="E97" s="41" t="n">
        <x:f>IF(AND(B97=1,MOD(MOD(A97-1,$B$8)+1,7)=0),$B$11,0)</x:f>
        <x:v>0</x:v>
      </x:c>
      <x:c r="F97" s="41" t="n">
        <x:f>SUM($C$32:D97)</x:f>
        <x:v>972</x:v>
      </x:c>
      <x:c r="G97" s="41" t="n">
        <x:f>INT(F97/'参数'!$D$61)</x:f>
        <x:v>16</x:v>
      </x:c>
      <x:c r="H97" s="41" t="n">
        <x:f>'90天收支'!S72+G97</x:f>
        <x:v>48</x:v>
      </x:c>
      <x:c r="I97" s="41" t="n">
        <x:f>SUM('90天收支'!$T$7:T72)+G97*2</x:f>
        <x:v>151</x:v>
      </x:c>
      <x:c r="J97" s="41" t="n">
        <x:f>IF(I97&gt;=160,1,0)</x:f>
        <x:v>0</x:v>
      </x:c>
      <x:c r="K97" s="41" t="n">
        <x:f>MIN($B$12,INT((A97-1)/$B$8)+1)*$B$7</x:f>
        <x:v>90</x:v>
      </x:c>
      <x:c r="L97" s="41" t="n">
        <x:f>SUM($E$32:E97)</x:f>
        <x:v>8</x:v>
      </x:c>
    </x:row>
    <x:row r="98">
      <x:c r="A98" s="1" t="n">
        <x:v>67</x:v>
      </x:c>
      <x:c r="B98" s="1" t="n">
        <x:f>IF(A98&lt;=$B$8*$B$12,1,0)</x:f>
        <x:v>1</x:v>
      </x:c>
      <x:c r="C98" s="1" t="n">
        <x:f>IF(AND(B98=1,MOD(A98-1,$B$8)=0),$B$9,0)</x:f>
        <x:v>0</x:v>
      </x:c>
      <x:c r="D98" s="1" t="n">
        <x:f>B98*$B$10</x:f>
        <x:v>12</x:v>
      </x:c>
      <x:c r="E98" s="1" t="n">
        <x:f>IF(AND(B98=1,MOD(MOD(A98-1,$B$8)+1,7)=0),$B$11,0)</x:f>
        <x:v>1</x:v>
      </x:c>
      <x:c r="F98" s="1" t="n">
        <x:f>SUM($C$32:D98)</x:f>
        <x:v>984</x:v>
      </x:c>
      <x:c r="G98" s="1" t="n">
        <x:f>INT(F98/'参数'!$D$61)</x:f>
        <x:v>16</x:v>
      </x:c>
      <x:c r="H98" s="1" t="n">
        <x:f>'90天收支'!S73+G98</x:f>
        <x:v>48</x:v>
      </x:c>
      <x:c r="I98" s="1" t="n">
        <x:f>SUM('90天收支'!$T$7:T73)+G98*2</x:f>
        <x:v>151</x:v>
      </x:c>
      <x:c r="J98" s="1" t="n">
        <x:f>IF(I98&gt;=160,1,0)</x:f>
        <x:v>0</x:v>
      </x:c>
      <x:c r="K98" s="1" t="n">
        <x:f>MIN($B$12,INT((A98-1)/$B$8)+1)*$B$7</x:f>
        <x:v>90</x:v>
      </x:c>
      <x:c r="L98" s="1" t="n">
        <x:f>SUM($E$32:E98)</x:f>
        <x:v>9</x:v>
      </x:c>
    </x:row>
    <x:row r="99">
      <x:c r="A99" s="41" t="n">
        <x:v>68</x:v>
      </x:c>
      <x:c r="B99" s="41" t="n">
        <x:f>IF(A99&lt;=$B$8*$B$12,1,0)</x:f>
        <x:v>1</x:v>
      </x:c>
      <x:c r="C99" s="41" t="n">
        <x:f>IF(AND(B99=1,MOD(A99-1,$B$8)=0),$B$9,0)</x:f>
        <x:v>0</x:v>
      </x:c>
      <x:c r="D99" s="41" t="n">
        <x:f>B99*$B$10</x:f>
        <x:v>12</x:v>
      </x:c>
      <x:c r="E99" s="41" t="n">
        <x:f>IF(AND(B99=1,MOD(MOD(A99-1,$B$8)+1,7)=0),$B$11,0)</x:f>
        <x:v>0</x:v>
      </x:c>
      <x:c r="F99" s="41" t="n">
        <x:f>SUM($C$32:D99)</x:f>
        <x:v>996</x:v>
      </x:c>
      <x:c r="G99" s="41" t="n">
        <x:f>INT(F99/'参数'!$D$61)</x:f>
        <x:v>16</x:v>
      </x:c>
      <x:c r="H99" s="41" t="n">
        <x:f>'90天收支'!S74+G99</x:f>
        <x:v>48</x:v>
      </x:c>
      <x:c r="I99" s="41" t="n">
        <x:f>SUM('90天收支'!$T$7:T74)+G99*2</x:f>
        <x:v>151</x:v>
      </x:c>
      <x:c r="J99" s="41" t="n">
        <x:f>IF(I99&gt;=160,1,0)</x:f>
        <x:v>0</x:v>
      </x:c>
      <x:c r="K99" s="41" t="n">
        <x:f>MIN($B$12,INT((A99-1)/$B$8)+1)*$B$7</x:f>
        <x:v>90</x:v>
      </x:c>
      <x:c r="L99" s="41" t="n">
        <x:f>SUM($E$32:E99)</x:f>
        <x:v>9</x:v>
      </x:c>
    </x:row>
    <x:row r="100">
      <x:c r="A100" s="1" t="n">
        <x:v>69</x:v>
      </x:c>
      <x:c r="B100" s="1" t="n">
        <x:f>IF(A100&lt;=$B$8*$B$12,1,0)</x:f>
        <x:v>1</x:v>
      </x:c>
      <x:c r="C100" s="1" t="n">
        <x:f>IF(AND(B100=1,MOD(A100-1,$B$8)=0),$B$9,0)</x:f>
        <x:v>0</x:v>
      </x:c>
      <x:c r="D100" s="1" t="n">
        <x:f>B100*$B$10</x:f>
        <x:v>12</x:v>
      </x:c>
      <x:c r="E100" s="1" t="n">
        <x:f>IF(AND(B100=1,MOD(MOD(A100-1,$B$8)+1,7)=0),$B$11,0)</x:f>
        <x:v>0</x:v>
      </x:c>
      <x:c r="F100" s="1" t="n">
        <x:f>SUM($C$32:D100)</x:f>
        <x:v>1008</x:v>
      </x:c>
      <x:c r="G100" s="1" t="n">
        <x:f>INT(F100/'参数'!$D$61)</x:f>
        <x:v>16</x:v>
      </x:c>
      <x:c r="H100" s="1" t="n">
        <x:f>'90天收支'!S75+G100</x:f>
        <x:v>48</x:v>
      </x:c>
      <x:c r="I100" s="1" t="n">
        <x:f>SUM('90天收支'!$T$7:T75)+G100*2</x:f>
        <x:v>151</x:v>
      </x:c>
      <x:c r="J100" s="1" t="n">
        <x:f>IF(I100&gt;=160,1,0)</x:f>
        <x:v>0</x:v>
      </x:c>
      <x:c r="K100" s="1" t="n">
        <x:f>MIN($B$12,INT((A100-1)/$B$8)+1)*$B$7</x:f>
        <x:v>90</x:v>
      </x:c>
      <x:c r="L100" s="1" t="n">
        <x:f>SUM($E$32:E100)</x:f>
        <x:v>9</x:v>
      </x:c>
    </x:row>
    <x:row r="101">
      <x:c r="A101" s="41" t="n">
        <x:v>70</x:v>
      </x:c>
      <x:c r="B101" s="41" t="n">
        <x:f>IF(A101&lt;=$B$8*$B$12,1,0)</x:f>
        <x:v>1</x:v>
      </x:c>
      <x:c r="C101" s="41" t="n">
        <x:f>IF(AND(B101=1,MOD(A101-1,$B$8)=0),$B$9,0)</x:f>
        <x:v>0</x:v>
      </x:c>
      <x:c r="D101" s="41" t="n">
        <x:f>B101*$B$10</x:f>
        <x:v>12</x:v>
      </x:c>
      <x:c r="E101" s="41" t="n">
        <x:f>IF(AND(B101=1,MOD(MOD(A101-1,$B$8)+1,7)=0),$B$11,0)</x:f>
        <x:v>0</x:v>
      </x:c>
      <x:c r="F101" s="41" t="n">
        <x:f>SUM($C$32:D101)</x:f>
        <x:v>1020</x:v>
      </x:c>
      <x:c r="G101" s="41" t="n">
        <x:f>INT(F101/'参数'!$D$61)</x:f>
        <x:v>17</x:v>
      </x:c>
      <x:c r="H101" s="41" t="n">
        <x:f>'90天收支'!S76+G101</x:f>
        <x:v>51</x:v>
      </x:c>
      <x:c r="I101" s="41" t="n">
        <x:f>SUM('90天收支'!$T$7:T76)+G101*2</x:f>
        <x:v>162</x:v>
      </x:c>
      <x:c r="J101" s="41" t="n">
        <x:f>IF(I101&gt;=160,1,0)</x:f>
        <x:v>1</x:v>
      </x:c>
      <x:c r="K101" s="41" t="n">
        <x:f>MIN($B$12,INT((A101-1)/$B$8)+1)*$B$7</x:f>
        <x:v>90</x:v>
      </x:c>
      <x:c r="L101" s="41" t="n">
        <x:f>SUM($E$32:E101)</x:f>
        <x:v>9</x:v>
      </x:c>
    </x:row>
    <x:row r="102">
      <x:c r="A102" s="1" t="n">
        <x:v>71</x:v>
      </x:c>
      <x:c r="B102" s="1" t="n">
        <x:f>IF(A102&lt;=$B$8*$B$12,1,0)</x:f>
        <x:v>1</x:v>
      </x:c>
      <x:c r="C102" s="1" t="n">
        <x:f>IF(AND(B102=1,MOD(A102-1,$B$8)=0),$B$9,0)</x:f>
        <x:v>0</x:v>
      </x:c>
      <x:c r="D102" s="1" t="n">
        <x:f>B102*$B$10</x:f>
        <x:v>12</x:v>
      </x:c>
      <x:c r="E102" s="1" t="n">
        <x:f>IF(AND(B102=1,MOD(MOD(A102-1,$B$8)+1,7)=0),$B$11,0)</x:f>
        <x:v>0</x:v>
      </x:c>
      <x:c r="F102" s="1" t="n">
        <x:f>SUM($C$32:D102)</x:f>
        <x:v>1032</x:v>
      </x:c>
      <x:c r="G102" s="1" t="n">
        <x:f>INT(F102/'参数'!$D$61)</x:f>
        <x:v>17</x:v>
      </x:c>
      <x:c r="H102" s="1" t="n">
        <x:f>'90天收支'!S77+G102</x:f>
        <x:v>51</x:v>
      </x:c>
      <x:c r="I102" s="1" t="n">
        <x:f>SUM('90天收支'!$T$7:T77)+G102*2</x:f>
        <x:v>162</x:v>
      </x:c>
      <x:c r="J102" s="1" t="n">
        <x:f>IF(I102&gt;=160,1,0)</x:f>
        <x:v>1</x:v>
      </x:c>
      <x:c r="K102" s="1" t="n">
        <x:f>MIN($B$12,INT((A102-1)/$B$8)+1)*$B$7</x:f>
        <x:v>90</x:v>
      </x:c>
      <x:c r="L102" s="1" t="n">
        <x:f>SUM($E$32:E102)</x:f>
        <x:v>9</x:v>
      </x:c>
    </x:row>
    <x:row r="103">
      <x:c r="A103" s="41" t="n">
        <x:v>72</x:v>
      </x:c>
      <x:c r="B103" s="41" t="n">
        <x:f>IF(A103&lt;=$B$8*$B$12,1,0)</x:f>
        <x:v>1</x:v>
      </x:c>
      <x:c r="C103" s="41" t="n">
        <x:f>IF(AND(B103=1,MOD(A103-1,$B$8)=0),$B$9,0)</x:f>
        <x:v>0</x:v>
      </x:c>
      <x:c r="D103" s="41" t="n">
        <x:f>B103*$B$10</x:f>
        <x:v>12</x:v>
      </x:c>
      <x:c r="E103" s="41" t="n">
        <x:f>IF(AND(B103=1,MOD(MOD(A103-1,$B$8)+1,7)=0),$B$11,0)</x:f>
        <x:v>0</x:v>
      </x:c>
      <x:c r="F103" s="41" t="n">
        <x:f>SUM($C$32:D103)</x:f>
        <x:v>1044</x:v>
      </x:c>
      <x:c r="G103" s="41" t="n">
        <x:f>INT(F103/'参数'!$D$61)</x:f>
        <x:v>17</x:v>
      </x:c>
      <x:c r="H103" s="41" t="n">
        <x:f>'90天收支'!S78+G103</x:f>
        <x:v>51</x:v>
      </x:c>
      <x:c r="I103" s="41" t="n">
        <x:f>SUM('90天收支'!$T$7:T78)+G103*2</x:f>
        <x:v>162</x:v>
      </x:c>
      <x:c r="J103" s="41" t="n">
        <x:f>IF(I103&gt;=160,1,0)</x:f>
        <x:v>1</x:v>
      </x:c>
      <x:c r="K103" s="41" t="n">
        <x:f>MIN($B$12,INT((A103-1)/$B$8)+1)*$B$7</x:f>
        <x:v>90</x:v>
      </x:c>
      <x:c r="L103" s="41" t="n">
        <x:f>SUM($E$32:E103)</x:f>
        <x:v>9</x:v>
      </x:c>
    </x:row>
    <x:row r="104">
      <x:c r="A104" s="1" t="n">
        <x:v>73</x:v>
      </x:c>
      <x:c r="B104" s="1" t="n">
        <x:f>IF(A104&lt;=$B$8*$B$12,1,0)</x:f>
        <x:v>1</x:v>
      </x:c>
      <x:c r="C104" s="1" t="n">
        <x:f>IF(AND(B104=1,MOD(A104-1,$B$8)=0),$B$9,0)</x:f>
        <x:v>0</x:v>
      </x:c>
      <x:c r="D104" s="1" t="n">
        <x:f>B104*$B$10</x:f>
        <x:v>12</x:v>
      </x:c>
      <x:c r="E104" s="1" t="n">
        <x:f>IF(AND(B104=1,MOD(MOD(A104-1,$B$8)+1,7)=0),$B$11,0)</x:f>
        <x:v>0</x:v>
      </x:c>
      <x:c r="F104" s="1" t="n">
        <x:f>SUM($C$32:D104)</x:f>
        <x:v>1056</x:v>
      </x:c>
      <x:c r="G104" s="1" t="n">
        <x:f>INT(F104/'参数'!$D$61)</x:f>
        <x:v>17</x:v>
      </x:c>
      <x:c r="H104" s="1" t="n">
        <x:f>'90天收支'!S79+G104</x:f>
        <x:v>51</x:v>
      </x:c>
      <x:c r="I104" s="1" t="n">
        <x:f>SUM('90天收支'!$T$7:T79)+G104*2</x:f>
        <x:v>162</x:v>
      </x:c>
      <x:c r="J104" s="1" t="n">
        <x:f>IF(I104&gt;=160,1,0)</x:f>
        <x:v>1</x:v>
      </x:c>
      <x:c r="K104" s="1" t="n">
        <x:f>MIN($B$12,INT((A104-1)/$B$8)+1)*$B$7</x:f>
        <x:v>90</x:v>
      </x:c>
      <x:c r="L104" s="1" t="n">
        <x:f>SUM($E$32:E104)</x:f>
        <x:v>9</x:v>
      </x:c>
    </x:row>
    <x:row r="105">
      <x:c r="A105" s="41" t="n">
        <x:v>74</x:v>
      </x:c>
      <x:c r="B105" s="41" t="n">
        <x:f>IF(A105&lt;=$B$8*$B$12,1,0)</x:f>
        <x:v>1</x:v>
      </x:c>
      <x:c r="C105" s="41" t="n">
        <x:f>IF(AND(B105=1,MOD(A105-1,$B$8)=0),$B$9,0)</x:f>
        <x:v>0</x:v>
      </x:c>
      <x:c r="D105" s="41" t="n">
        <x:f>B105*$B$10</x:f>
        <x:v>12</x:v>
      </x:c>
      <x:c r="E105" s="41" t="n">
        <x:f>IF(AND(B105=1,MOD(MOD(A105-1,$B$8)+1,7)=0),$B$11,0)</x:f>
        <x:v>1</x:v>
      </x:c>
      <x:c r="F105" s="41" t="n">
        <x:f>SUM($C$32:D105)</x:f>
        <x:v>1068</x:v>
      </x:c>
      <x:c r="G105" s="41" t="n">
        <x:f>INT(F105/'参数'!$D$61)</x:f>
        <x:v>17</x:v>
      </x:c>
      <x:c r="H105" s="41" t="n">
        <x:f>'90天收支'!S80+G105</x:f>
        <x:v>51</x:v>
      </x:c>
      <x:c r="I105" s="41" t="n">
        <x:f>SUM('90天收支'!$T$7:T80)+G105*2</x:f>
        <x:v>162</x:v>
      </x:c>
      <x:c r="J105" s="41" t="n">
        <x:f>IF(I105&gt;=160,1,0)</x:f>
        <x:v>1</x:v>
      </x:c>
      <x:c r="K105" s="41" t="n">
        <x:f>MIN($B$12,INT((A105-1)/$B$8)+1)*$B$7</x:f>
        <x:v>90</x:v>
      </x:c>
      <x:c r="L105" s="41" t="n">
        <x:f>SUM($E$32:E105)</x:f>
        <x:v>10</x:v>
      </x:c>
    </x:row>
    <x:row r="106">
      <x:c r="A106" s="1" t="n">
        <x:v>75</x:v>
      </x:c>
      <x:c r="B106" s="1" t="n">
        <x:f>IF(A106&lt;=$B$8*$B$12,1,0)</x:f>
        <x:v>1</x:v>
      </x:c>
      <x:c r="C106" s="1" t="n">
        <x:f>IF(AND(B106=1,MOD(A106-1,$B$8)=0),$B$9,0)</x:f>
        <x:v>0</x:v>
      </x:c>
      <x:c r="D106" s="1" t="n">
        <x:f>B106*$B$10</x:f>
        <x:v>12</x:v>
      </x:c>
      <x:c r="E106" s="1" t="n">
        <x:f>IF(AND(B106=1,MOD(MOD(A106-1,$B$8)+1,7)=0),$B$11,0)</x:f>
        <x:v>0</x:v>
      </x:c>
      <x:c r="F106" s="1" t="n">
        <x:f>SUM($C$32:D106)</x:f>
        <x:v>1080</x:v>
      </x:c>
      <x:c r="G106" s="1" t="n">
        <x:f>INT(F106/'参数'!$D$61)</x:f>
        <x:v>18</x:v>
      </x:c>
      <x:c r="H106" s="1" t="n">
        <x:f>'90天收支'!S81+G106</x:f>
        <x:v>52</x:v>
      </x:c>
      <x:c r="I106" s="1" t="n">
        <x:f>SUM('90天收支'!$T$7:T81)+G106*2</x:f>
        <x:v>164</x:v>
      </x:c>
      <x:c r="J106" s="1" t="n">
        <x:f>IF(I106&gt;=160,1,0)</x:f>
        <x:v>1</x:v>
      </x:c>
      <x:c r="K106" s="1" t="n">
        <x:f>MIN($B$12,INT((A106-1)/$B$8)+1)*$B$7</x:f>
        <x:v>90</x:v>
      </x:c>
      <x:c r="L106" s="1" t="n">
        <x:f>SUM($E$32:E106)</x:f>
        <x:v>10</x:v>
      </x:c>
    </x:row>
    <x:row r="107">
      <x:c r="A107" s="41" t="n">
        <x:v>76</x:v>
      </x:c>
      <x:c r="B107" s="41" t="n">
        <x:f>IF(A107&lt;=$B$8*$B$12,1,0)</x:f>
        <x:v>1</x:v>
      </x:c>
      <x:c r="C107" s="41" t="n">
        <x:f>IF(AND(B107=1,MOD(A107-1,$B$8)=0),$B$9,0)</x:f>
        <x:v>0</x:v>
      </x:c>
      <x:c r="D107" s="41" t="n">
        <x:f>B107*$B$10</x:f>
        <x:v>12</x:v>
      </x:c>
      <x:c r="E107" s="41" t="n">
        <x:f>IF(AND(B107=1,MOD(MOD(A107-1,$B$8)+1,7)=0),$B$11,0)</x:f>
        <x:v>0</x:v>
      </x:c>
      <x:c r="F107" s="41" t="n">
        <x:f>SUM($C$32:D107)</x:f>
        <x:v>1092</x:v>
      </x:c>
      <x:c r="G107" s="41" t="n">
        <x:f>INT(F107/'参数'!$D$61)</x:f>
        <x:v>18</x:v>
      </x:c>
      <x:c r="H107" s="41" t="n">
        <x:f>'90天收支'!S82+G107</x:f>
        <x:v>52</x:v>
      </x:c>
      <x:c r="I107" s="41" t="n">
        <x:f>SUM('90天收支'!$T$7:T82)+G107*2</x:f>
        <x:v>164</x:v>
      </x:c>
      <x:c r="J107" s="41" t="n">
        <x:f>IF(I107&gt;=160,1,0)</x:f>
        <x:v>1</x:v>
      </x:c>
      <x:c r="K107" s="41" t="n">
        <x:f>MIN($B$12,INT((A107-1)/$B$8)+1)*$B$7</x:f>
        <x:v>90</x:v>
      </x:c>
      <x:c r="L107" s="41" t="n">
        <x:f>SUM($E$32:E107)</x:f>
        <x:v>10</x:v>
      </x:c>
    </x:row>
    <x:row r="108">
      <x:c r="A108" s="1" t="n">
        <x:v>77</x:v>
      </x:c>
      <x:c r="B108" s="1" t="n">
        <x:f>IF(A108&lt;=$B$8*$B$12,1,0)</x:f>
        <x:v>1</x:v>
      </x:c>
      <x:c r="C108" s="1" t="n">
        <x:f>IF(AND(B108=1,MOD(A108-1,$B$8)=0),$B$9,0)</x:f>
        <x:v>0</x:v>
      </x:c>
      <x:c r="D108" s="1" t="n">
        <x:f>B108*$B$10</x:f>
        <x:v>12</x:v>
      </x:c>
      <x:c r="E108" s="1" t="n">
        <x:f>IF(AND(B108=1,MOD(MOD(A108-1,$B$8)+1,7)=0),$B$11,0)</x:f>
        <x:v>0</x:v>
      </x:c>
      <x:c r="F108" s="1" t="n">
        <x:f>SUM($C$32:D108)</x:f>
        <x:v>1104</x:v>
      </x:c>
      <x:c r="G108" s="1" t="n">
        <x:f>INT(F108/'参数'!$D$61)</x:f>
        <x:v>18</x:v>
      </x:c>
      <x:c r="H108" s="1" t="n">
        <x:f>'90天收支'!S83+G108</x:f>
        <x:v>54</x:v>
      </x:c>
      <x:c r="I108" s="1" t="n">
        <x:f>SUM('90天收支'!$T$7:T83)+G108*2</x:f>
        <x:v>173</x:v>
      </x:c>
      <x:c r="J108" s="1" t="n">
        <x:f>IF(I108&gt;=160,1,0)</x:f>
        <x:v>1</x:v>
      </x:c>
      <x:c r="K108" s="1" t="n">
        <x:f>MIN($B$12,INT((A108-1)/$B$8)+1)*$B$7</x:f>
        <x:v>90</x:v>
      </x:c>
      <x:c r="L108" s="1" t="n">
        <x:f>SUM($E$32:E108)</x:f>
        <x:v>10</x:v>
      </x:c>
    </x:row>
    <x:row r="109">
      <x:c r="A109" s="41" t="n">
        <x:v>78</x:v>
      </x:c>
      <x:c r="B109" s="41" t="n">
        <x:f>IF(A109&lt;=$B$8*$B$12,1,0)</x:f>
        <x:v>1</x:v>
      </x:c>
      <x:c r="C109" s="41" t="n">
        <x:f>IF(AND(B109=1,MOD(A109-1,$B$8)=0),$B$9,0)</x:f>
        <x:v>0</x:v>
      </x:c>
      <x:c r="D109" s="41" t="n">
        <x:f>B109*$B$10</x:f>
        <x:v>12</x:v>
      </x:c>
      <x:c r="E109" s="41" t="n">
        <x:f>IF(AND(B109=1,MOD(MOD(A109-1,$B$8)+1,7)=0),$B$11,0)</x:f>
        <x:v>0</x:v>
      </x:c>
      <x:c r="F109" s="41" t="n">
        <x:f>SUM($C$32:D109)</x:f>
        <x:v>1116</x:v>
      </x:c>
      <x:c r="G109" s="41" t="n">
        <x:f>INT(F109/'参数'!$D$61)</x:f>
        <x:v>18</x:v>
      </x:c>
      <x:c r="H109" s="41" t="n">
        <x:f>'90天收支'!S84+G109</x:f>
        <x:v>54</x:v>
      </x:c>
      <x:c r="I109" s="41" t="n">
        <x:f>SUM('90天收支'!$T$7:T84)+G109*2</x:f>
        <x:v>173</x:v>
      </x:c>
      <x:c r="J109" s="41" t="n">
        <x:f>IF(I109&gt;=160,1,0)</x:f>
        <x:v>1</x:v>
      </x:c>
      <x:c r="K109" s="41" t="n">
        <x:f>MIN($B$12,INT((A109-1)/$B$8)+1)*$B$7</x:f>
        <x:v>90</x:v>
      </x:c>
      <x:c r="L109" s="41" t="n">
        <x:f>SUM($E$32:E109)</x:f>
        <x:v>10</x:v>
      </x:c>
    </x:row>
    <x:row r="110">
      <x:c r="A110" s="1" t="n">
        <x:v>79</x:v>
      </x:c>
      <x:c r="B110" s="1" t="n">
        <x:f>IF(A110&lt;=$B$8*$B$12,1,0)</x:f>
        <x:v>1</x:v>
      </x:c>
      <x:c r="C110" s="1" t="n">
        <x:f>IF(AND(B110=1,MOD(A110-1,$B$8)=0),$B$9,0)</x:f>
        <x:v>0</x:v>
      </x:c>
      <x:c r="D110" s="1" t="n">
        <x:f>B110*$B$10</x:f>
        <x:v>12</x:v>
      </x:c>
      <x:c r="E110" s="1" t="n">
        <x:f>IF(AND(B110=1,MOD(MOD(A110-1,$B$8)+1,7)=0),$B$11,0)</x:f>
        <x:v>0</x:v>
      </x:c>
      <x:c r="F110" s="1" t="n">
        <x:f>SUM($C$32:D110)</x:f>
        <x:v>1128</x:v>
      </x:c>
      <x:c r="G110" s="1" t="n">
        <x:f>INT(F110/'参数'!$D$61)</x:f>
        <x:v>18</x:v>
      </x:c>
      <x:c r="H110" s="1" t="n">
        <x:f>'90天收支'!S85+G110</x:f>
        <x:v>54</x:v>
      </x:c>
      <x:c r="I110" s="1" t="n">
        <x:f>SUM('90天收支'!$T$7:T85)+G110*2</x:f>
        <x:v>173</x:v>
      </x:c>
      <x:c r="J110" s="1" t="n">
        <x:f>IF(I110&gt;=160,1,0)</x:f>
        <x:v>1</x:v>
      </x:c>
      <x:c r="K110" s="1" t="n">
        <x:f>MIN($B$12,INT((A110-1)/$B$8)+1)*$B$7</x:f>
        <x:v>90</x:v>
      </x:c>
      <x:c r="L110" s="1" t="n">
        <x:f>SUM($E$32:E110)</x:f>
        <x:v>10</x:v>
      </x:c>
    </x:row>
    <x:row r="111">
      <x:c r="A111" s="41" t="n">
        <x:v>80</x:v>
      </x:c>
      <x:c r="B111" s="41" t="n">
        <x:f>IF(A111&lt;=$B$8*$B$12,1,0)</x:f>
        <x:v>1</x:v>
      </x:c>
      <x:c r="C111" s="41" t="n">
        <x:f>IF(AND(B111=1,MOD(A111-1,$B$8)=0),$B$9,0)</x:f>
        <x:v>0</x:v>
      </x:c>
      <x:c r="D111" s="41" t="n">
        <x:f>B111*$B$10</x:f>
        <x:v>12</x:v>
      </x:c>
      <x:c r="E111" s="41" t="n">
        <x:f>IF(AND(B111=1,MOD(MOD(A111-1,$B$8)+1,7)=0),$B$11,0)</x:f>
        <x:v>0</x:v>
      </x:c>
      <x:c r="F111" s="41" t="n">
        <x:f>SUM($C$32:D111)</x:f>
        <x:v>1140</x:v>
      </x:c>
      <x:c r="G111" s="41" t="n">
        <x:f>INT(F111/'参数'!$D$61)</x:f>
        <x:v>19</x:v>
      </x:c>
      <x:c r="H111" s="41" t="n">
        <x:f>'90天收支'!S86+G111</x:f>
        <x:v>55</x:v>
      </x:c>
      <x:c r="I111" s="41" t="n">
        <x:f>SUM('90天收支'!$T$7:T86)+G111*2</x:f>
        <x:v>175</x:v>
      </x:c>
      <x:c r="J111" s="41" t="n">
        <x:f>IF(I111&gt;=160,1,0)</x:f>
        <x:v>1</x:v>
      </x:c>
      <x:c r="K111" s="41" t="n">
        <x:f>MIN($B$12,INT((A111-1)/$B$8)+1)*$B$7</x:f>
        <x:v>90</x:v>
      </x:c>
      <x:c r="L111" s="41" t="n">
        <x:f>SUM($E$32:E111)</x:f>
        <x:v>10</x:v>
      </x:c>
    </x:row>
    <x:row r="112">
      <x:c r="A112" s="1" t="n">
        <x:v>81</x:v>
      </x:c>
      <x:c r="B112" s="1" t="n">
        <x:f>IF(A112&lt;=$B$8*$B$12,1,0)</x:f>
        <x:v>1</x:v>
      </x:c>
      <x:c r="C112" s="1" t="n">
        <x:f>IF(AND(B112=1,MOD(A112-1,$B$8)=0),$B$9,0)</x:f>
        <x:v>0</x:v>
      </x:c>
      <x:c r="D112" s="1" t="n">
        <x:f>B112*$B$10</x:f>
        <x:v>12</x:v>
      </x:c>
      <x:c r="E112" s="1" t="n">
        <x:f>IF(AND(B112=1,MOD(MOD(A112-1,$B$8)+1,7)=0),$B$11,0)</x:f>
        <x:v>1</x:v>
      </x:c>
      <x:c r="F112" s="1" t="n">
        <x:f>SUM($C$32:D112)</x:f>
        <x:v>1152</x:v>
      </x:c>
      <x:c r="G112" s="1" t="n">
        <x:f>INT(F112/'参数'!$D$61)</x:f>
        <x:v>19</x:v>
      </x:c>
      <x:c r="H112" s="1" t="n">
        <x:f>'90天收支'!S87+G112</x:f>
        <x:v>55</x:v>
      </x:c>
      <x:c r="I112" s="1" t="n">
        <x:f>SUM('90天收支'!$T$7:T87)+G112*2</x:f>
        <x:v>175</x:v>
      </x:c>
      <x:c r="J112" s="1" t="n">
        <x:f>IF(I112&gt;=160,1,0)</x:f>
        <x:v>1</x:v>
      </x:c>
      <x:c r="K112" s="1" t="n">
        <x:f>MIN($B$12,INT((A112-1)/$B$8)+1)*$B$7</x:f>
        <x:v>90</x:v>
      </x:c>
      <x:c r="L112" s="1" t="n">
        <x:f>SUM($E$32:E112)</x:f>
        <x:v>11</x:v>
      </x:c>
    </x:row>
    <x:row r="113">
      <x:c r="A113" s="41" t="n">
        <x:v>82</x:v>
      </x:c>
      <x:c r="B113" s="41" t="n">
        <x:f>IF(A113&lt;=$B$8*$B$12,1,0)</x:f>
        <x:v>1</x:v>
      </x:c>
      <x:c r="C113" s="41" t="n">
        <x:f>IF(AND(B113=1,MOD(A113-1,$B$8)=0),$B$9,0)</x:f>
        <x:v>0</x:v>
      </x:c>
      <x:c r="D113" s="41" t="n">
        <x:f>B113*$B$10</x:f>
        <x:v>12</x:v>
      </x:c>
      <x:c r="E113" s="41" t="n">
        <x:f>IF(AND(B113=1,MOD(MOD(A113-1,$B$8)+1,7)=0),$B$11,0)</x:f>
        <x:v>0</x:v>
      </x:c>
      <x:c r="F113" s="41" t="n">
        <x:f>SUM($C$32:D113)</x:f>
        <x:v>1164</x:v>
      </x:c>
      <x:c r="G113" s="41" t="n">
        <x:f>INT(F113/'参数'!$D$61)</x:f>
        <x:v>19</x:v>
      </x:c>
      <x:c r="H113" s="41" t="n">
        <x:f>'90天收支'!S88+G113</x:f>
        <x:v>55</x:v>
      </x:c>
      <x:c r="I113" s="41" t="n">
        <x:f>SUM('90天收支'!$T$7:T88)+G113*2</x:f>
        <x:v>175</x:v>
      </x:c>
      <x:c r="J113" s="41" t="n">
        <x:f>IF(I113&gt;=160,1,0)</x:f>
        <x:v>1</x:v>
      </x:c>
      <x:c r="K113" s="41" t="n">
        <x:f>MIN($B$12,INT((A113-1)/$B$8)+1)*$B$7</x:f>
        <x:v>90</x:v>
      </x:c>
      <x:c r="L113" s="41" t="n">
        <x:f>SUM($E$32:E113)</x:f>
        <x:v>11</x:v>
      </x:c>
    </x:row>
    <x:row r="114">
      <x:c r="A114" s="1" t="n">
        <x:v>83</x:v>
      </x:c>
      <x:c r="B114" s="1" t="n">
        <x:f>IF(A114&lt;=$B$8*$B$12,1,0)</x:f>
        <x:v>1</x:v>
      </x:c>
      <x:c r="C114" s="1" t="n">
        <x:f>IF(AND(B114=1,MOD(A114-1,$B$8)=0),$B$9,0)</x:f>
        <x:v>0</x:v>
      </x:c>
      <x:c r="D114" s="1" t="n">
        <x:f>B114*$B$10</x:f>
        <x:v>12</x:v>
      </x:c>
      <x:c r="E114" s="1" t="n">
        <x:f>IF(AND(B114=1,MOD(MOD(A114-1,$B$8)+1,7)=0),$B$11,0)</x:f>
        <x:v>0</x:v>
      </x:c>
      <x:c r="F114" s="1" t="n">
        <x:f>SUM($C$32:D114)</x:f>
        <x:v>1176</x:v>
      </x:c>
      <x:c r="G114" s="1" t="n">
        <x:f>INT(F114/'参数'!$D$61)</x:f>
        <x:v>19</x:v>
      </x:c>
      <x:c r="H114" s="1" t="n">
        <x:f>'90天收支'!S89+G114</x:f>
        <x:v>55</x:v>
      </x:c>
      <x:c r="I114" s="1" t="n">
        <x:f>SUM('90天收支'!$T$7:T89)+G114*2</x:f>
        <x:v>175</x:v>
      </x:c>
      <x:c r="J114" s="1" t="n">
        <x:f>IF(I114&gt;=160,1,0)</x:f>
        <x:v>1</x:v>
      </x:c>
      <x:c r="K114" s="1" t="n">
        <x:f>MIN($B$12,INT((A114-1)/$B$8)+1)*$B$7</x:f>
        <x:v>90</x:v>
      </x:c>
      <x:c r="L114" s="1" t="n">
        <x:f>SUM($E$32:E114)</x:f>
        <x:v>11</x:v>
      </x:c>
    </x:row>
    <x:row r="115">
      <x:c r="A115" s="41" t="n">
        <x:v>84</x:v>
      </x:c>
      <x:c r="B115" s="41" t="n">
        <x:f>IF(A115&lt;=$B$8*$B$12,1,0)</x:f>
        <x:v>1</x:v>
      </x:c>
      <x:c r="C115" s="41" t="n">
        <x:f>IF(AND(B115=1,MOD(A115-1,$B$8)=0),$B$9,0)</x:f>
        <x:v>0</x:v>
      </x:c>
      <x:c r="D115" s="41" t="n">
        <x:f>B115*$B$10</x:f>
        <x:v>12</x:v>
      </x:c>
      <x:c r="E115" s="41" t="n">
        <x:f>IF(AND(B115=1,MOD(MOD(A115-1,$B$8)+1,7)=0),$B$11,0)</x:f>
        <x:v>0</x:v>
      </x:c>
      <x:c r="F115" s="41" t="n">
        <x:f>SUM($C$32:D115)</x:f>
        <x:v>1188</x:v>
      </x:c>
      <x:c r="G115" s="41" t="n">
        <x:f>INT(F115/'参数'!$D$61)</x:f>
        <x:v>19</x:v>
      </x:c>
      <x:c r="H115" s="41" t="n">
        <x:f>'90天收支'!S90+G115</x:f>
        <x:v>57</x:v>
      </x:c>
      <x:c r="I115" s="41" t="n">
        <x:f>SUM('90天收支'!$T$7:T90)+G115*2</x:f>
        <x:v>184</x:v>
      </x:c>
      <x:c r="J115" s="41" t="n">
        <x:f>IF(I115&gt;=160,1,0)</x:f>
        <x:v>1</x:v>
      </x:c>
      <x:c r="K115" s="41" t="n">
        <x:f>MIN($B$12,INT((A115-1)/$B$8)+1)*$B$7</x:f>
        <x:v>90</x:v>
      </x:c>
      <x:c r="L115" s="41" t="n">
        <x:f>SUM($E$32:E115)</x:f>
        <x:v>11</x:v>
      </x:c>
    </x:row>
    <x:row r="116">
      <x:c r="A116" s="1" t="n">
        <x:v>85</x:v>
      </x:c>
      <x:c r="B116" s="1" t="n">
        <x:f>IF(A116&lt;=$B$8*$B$12,1,0)</x:f>
        <x:v>1</x:v>
      </x:c>
      <x:c r="C116" s="1" t="n">
        <x:f>IF(AND(B116=1,MOD(A116-1,$B$8)=0),$B$9,0)</x:f>
        <x:v>0</x:v>
      </x:c>
      <x:c r="D116" s="1" t="n">
        <x:f>B116*$B$10</x:f>
        <x:v>12</x:v>
      </x:c>
      <x:c r="E116" s="1" t="n">
        <x:f>IF(AND(B116=1,MOD(MOD(A116-1,$B$8)+1,7)=0),$B$11,0)</x:f>
        <x:v>0</x:v>
      </x:c>
      <x:c r="F116" s="1" t="n">
        <x:f>SUM($C$32:D116)</x:f>
        <x:v>1200</x:v>
      </x:c>
      <x:c r="G116" s="1" t="n">
        <x:f>INT(F116/'参数'!$D$61)</x:f>
        <x:v>20</x:v>
      </x:c>
      <x:c r="H116" s="1" t="n">
        <x:f>'90天收支'!S91+G116</x:f>
        <x:v>58</x:v>
      </x:c>
      <x:c r="I116" s="1" t="n">
        <x:f>SUM('90天收支'!$T$7:T91)+G116*2</x:f>
        <x:v>186</x:v>
      </x:c>
      <x:c r="J116" s="1" t="n">
        <x:f>IF(I116&gt;=160,1,0)</x:f>
        <x:v>1</x:v>
      </x:c>
      <x:c r="K116" s="1" t="n">
        <x:f>MIN($B$12,INT((A116-1)/$B$8)+1)*$B$7</x:f>
        <x:v>90</x:v>
      </x:c>
      <x:c r="L116" s="1" t="n">
        <x:f>SUM($E$32:E116)</x:f>
        <x:v>11</x:v>
      </x:c>
    </x:row>
    <x:row r="117">
      <x:c r="A117" s="41" t="n">
        <x:v>86</x:v>
      </x:c>
      <x:c r="B117" s="41" t="n">
        <x:f>IF(A117&lt;=$B$8*$B$12,1,0)</x:f>
        <x:v>1</x:v>
      </x:c>
      <x:c r="C117" s="41" t="n">
        <x:f>IF(AND(B117=1,MOD(A117-1,$B$8)=0),$B$9,0)</x:f>
        <x:v>0</x:v>
      </x:c>
      <x:c r="D117" s="41" t="n">
        <x:f>B117*$B$10</x:f>
        <x:v>12</x:v>
      </x:c>
      <x:c r="E117" s="41" t="n">
        <x:f>IF(AND(B117=1,MOD(MOD(A117-1,$B$8)+1,7)=0),$B$11,0)</x:f>
        <x:v>0</x:v>
      </x:c>
      <x:c r="F117" s="41" t="n">
        <x:f>SUM($C$32:D117)</x:f>
        <x:v>1212</x:v>
      </x:c>
      <x:c r="G117" s="41" t="n">
        <x:f>INT(F117/'参数'!$D$61)</x:f>
        <x:v>20</x:v>
      </x:c>
      <x:c r="H117" s="41" t="n">
        <x:f>'90天收支'!S92+G117</x:f>
        <x:v>58</x:v>
      </x:c>
      <x:c r="I117" s="41" t="n">
        <x:f>SUM('90天收支'!$T$7:T92)+G117*2</x:f>
        <x:v>186</x:v>
      </x:c>
      <x:c r="J117" s="41" t="n">
        <x:f>IF(I117&gt;=160,1,0)</x:f>
        <x:v>1</x:v>
      </x:c>
      <x:c r="K117" s="41" t="n">
        <x:f>MIN($B$12,INT((A117-1)/$B$8)+1)*$B$7</x:f>
        <x:v>90</x:v>
      </x:c>
      <x:c r="L117" s="41" t="n">
        <x:f>SUM($E$32:E117)</x:f>
        <x:v>11</x:v>
      </x:c>
    </x:row>
    <x:row r="118">
      <x:c r="A118" s="1" t="n">
        <x:v>87</x:v>
      </x:c>
      <x:c r="B118" s="1" t="n">
        <x:f>IF(A118&lt;=$B$8*$B$12,1,0)</x:f>
        <x:v>1</x:v>
      </x:c>
      <x:c r="C118" s="1" t="n">
        <x:f>IF(AND(B118=1,MOD(A118-1,$B$8)=0),$B$9,0)</x:f>
        <x:v>0</x:v>
      </x:c>
      <x:c r="D118" s="1" t="n">
        <x:f>B118*$B$10</x:f>
        <x:v>12</x:v>
      </x:c>
      <x:c r="E118" s="1" t="n">
        <x:f>IF(AND(B118=1,MOD(MOD(A118-1,$B$8)+1,7)=0),$B$11,0)</x:f>
        <x:v>0</x:v>
      </x:c>
      <x:c r="F118" s="1" t="n">
        <x:f>SUM($C$32:D118)</x:f>
        <x:v>1224</x:v>
      </x:c>
      <x:c r="G118" s="1" t="n">
        <x:f>INT(F118/'参数'!$D$61)</x:f>
        <x:v>20</x:v>
      </x:c>
      <x:c r="H118" s="1" t="n">
        <x:f>'90天收支'!S93+G118</x:f>
        <x:v>58</x:v>
      </x:c>
      <x:c r="I118" s="1" t="n">
        <x:f>SUM('90天收支'!$T$7:T93)+G118*2</x:f>
        <x:v>186</x:v>
      </x:c>
      <x:c r="J118" s="1" t="n">
        <x:f>IF(I118&gt;=160,1,0)</x:f>
        <x:v>1</x:v>
      </x:c>
      <x:c r="K118" s="1" t="n">
        <x:f>MIN($B$12,INT((A118-1)/$B$8)+1)*$B$7</x:f>
        <x:v>90</x:v>
      </x:c>
      <x:c r="L118" s="1" t="n">
        <x:f>SUM($E$32:E118)</x:f>
        <x:v>11</x:v>
      </x:c>
    </x:row>
    <x:row r="119">
      <x:c r="A119" s="41" t="n">
        <x:v>88</x:v>
      </x:c>
      <x:c r="B119" s="41" t="n">
        <x:f>IF(A119&lt;=$B$8*$B$12,1,0)</x:f>
        <x:v>1</x:v>
      </x:c>
      <x:c r="C119" s="41" t="n">
        <x:f>IF(AND(B119=1,MOD(A119-1,$B$8)=0),$B$9,0)</x:f>
        <x:v>0</x:v>
      </x:c>
      <x:c r="D119" s="41" t="n">
        <x:f>B119*$B$10</x:f>
        <x:v>12</x:v>
      </x:c>
      <x:c r="E119" s="41" t="n">
        <x:f>IF(AND(B119=1,MOD(MOD(A119-1,$B$8)+1,7)=0),$B$11,0)</x:f>
        <x:v>1</x:v>
      </x:c>
      <x:c r="F119" s="41" t="n">
        <x:f>SUM($C$32:D119)</x:f>
        <x:v>1236</x:v>
      </x:c>
      <x:c r="G119" s="41" t="n">
        <x:f>INT(F119/'参数'!$D$61)</x:f>
        <x:v>20</x:v>
      </x:c>
      <x:c r="H119" s="41" t="n">
        <x:f>'90天收支'!S94+G119</x:f>
        <x:v>58</x:v>
      </x:c>
      <x:c r="I119" s="41" t="n">
        <x:f>SUM('90天收支'!$T$7:T94)+G119*2</x:f>
        <x:v>186</x:v>
      </x:c>
      <x:c r="J119" s="41" t="n">
        <x:f>IF(I119&gt;=160,1,0)</x:f>
        <x:v>1</x:v>
      </x:c>
      <x:c r="K119" s="41" t="n">
        <x:f>MIN($B$12,INT((A119-1)/$B$8)+1)*$B$7</x:f>
        <x:v>90</x:v>
      </x:c>
      <x:c r="L119" s="41" t="n">
        <x:f>SUM($E$32:E119)</x:f>
        <x:v>12</x:v>
      </x:c>
    </x:row>
    <x:row r="120">
      <x:c r="A120" s="1" t="n">
        <x:v>89</x:v>
      </x:c>
      <x:c r="B120" s="1" t="n">
        <x:f>IF(A120&lt;=$B$8*$B$12,1,0)</x:f>
        <x:v>1</x:v>
      </x:c>
      <x:c r="C120" s="1" t="n">
        <x:f>IF(AND(B120=1,MOD(A120-1,$B$8)=0),$B$9,0)</x:f>
        <x:v>0</x:v>
      </x:c>
      <x:c r="D120" s="1" t="n">
        <x:f>B120*$B$10</x:f>
        <x:v>12</x:v>
      </x:c>
      <x:c r="E120" s="1" t="n">
        <x:f>IF(AND(B120=1,MOD(MOD(A120-1,$B$8)+1,7)=0),$B$11,0)</x:f>
        <x:v>0</x:v>
      </x:c>
      <x:c r="F120" s="1" t="n">
        <x:f>SUM($C$32:D120)</x:f>
        <x:v>1248</x:v>
      </x:c>
      <x:c r="G120" s="1" t="n">
        <x:f>INT(F120/'参数'!$D$61)</x:f>
        <x:v>20</x:v>
      </x:c>
      <x:c r="H120" s="1" t="n">
        <x:f>'90天收支'!S95+G120</x:f>
        <x:v>58</x:v>
      </x:c>
      <x:c r="I120" s="1" t="n">
        <x:f>SUM('90天收支'!$T$7:T95)+G120*2</x:f>
        <x:v>186</x:v>
      </x:c>
      <x:c r="J120" s="1" t="n">
        <x:f>IF(I120&gt;=160,1,0)</x:f>
        <x:v>1</x:v>
      </x:c>
      <x:c r="K120" s="1" t="n">
        <x:f>MIN($B$12,INT((A120-1)/$B$8)+1)*$B$7</x:f>
        <x:v>90</x:v>
      </x:c>
      <x:c r="L120" s="1" t="n">
        <x:f>SUM($E$32:E120)</x:f>
        <x:v>12</x:v>
      </x:c>
    </x:row>
    <x:row r="121">
      <x:c r="A121" s="41" t="n">
        <x:v>90</x:v>
      </x:c>
      <x:c r="B121" s="41" t="n">
        <x:f>IF(A121&lt;=$B$8*$B$12,1,0)</x:f>
        <x:v>1</x:v>
      </x:c>
      <x:c r="C121" s="41" t="n">
        <x:f>IF(AND(B121=1,MOD(A121-1,$B$8)=0),$B$9,0)</x:f>
        <x:v>0</x:v>
      </x:c>
      <x:c r="D121" s="41" t="n">
        <x:f>B121*$B$10</x:f>
        <x:v>12</x:v>
      </x:c>
      <x:c r="E121" s="41" t="n">
        <x:f>IF(AND(B121=1,MOD(MOD(A121-1,$B$8)+1,7)=0),$B$11,0)</x:f>
        <x:v>0</x:v>
      </x:c>
      <x:c r="F121" s="41" t="n">
        <x:f>SUM($C$32:D121)</x:f>
        <x:v>1260</x:v>
      </x:c>
      <x:c r="G121" s="41" t="n">
        <x:f>INT(F121/'参数'!$D$61)</x:f>
        <x:v>21</x:v>
      </x:c>
      <x:c r="H121" s="41" t="n">
        <x:f>'90天收支'!S96+G121</x:f>
        <x:v>60</x:v>
      </x:c>
      <x:c r="I121" s="41" t="n">
        <x:f>SUM('90天收支'!$T$7:T96)+G121*2</x:f>
        <x:v>190</x:v>
      </x:c>
      <x:c r="J121" s="41" t="n">
        <x:f>IF(I121&gt;=160,1,0)</x:f>
        <x:v>1</x:v>
      </x:c>
      <x:c r="K121" s="41" t="n">
        <x:f>MIN($B$12,INT((A121-1)/$B$8)+1)*$B$7</x:f>
        <x:v>90</x:v>
      </x:c>
      <x:c r="L121" s="41" t="n">
        <x:f>SUM($E$32:E121)</x:f>
        <x:v>12</x:v>
      </x:c>
    </x:row>
  </x:sheetData>
  <x:dataValidations count="1">
    <x:dataValidation type="whole" operator="between" sqref="B12">
      <x:formula1>0</x:formula1>
      <x:formula2>3</x:formula2>
    </x:dataValidation>
  </x:dataValidations>
  <x:pageMargins left="0.7" right="0.7" top="0.75" bottom="0.75" header="0.3" footer="0.3"/>
</x:worksheet>
</file>